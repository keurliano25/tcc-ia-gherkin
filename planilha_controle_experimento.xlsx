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OES" sheetId="1" r:id="rId5"/>
    <sheet state="visible" name="HISTORIAS" sheetId="2" r:id="rId6"/>
    <sheet state="visible" name="GABARITO" sheetId="3" r:id="rId7"/>
    <sheet state="visible" name="TABELA_DECISAO" sheetId="4" r:id="rId8"/>
    <sheet state="visible" name="C0" sheetId="5" r:id="rId9"/>
    <sheet state="visible" name="C1" sheetId="6" r:id="rId10"/>
    <sheet state="visible" name="C2" sheetId="7" r:id="rId11"/>
    <sheet state="visible" name="RASTREABILIDADE" sheetId="8" r:id="rId12"/>
    <sheet state="visible" name="INTERVENCOES" sheetId="9" r:id="rId13"/>
    <sheet state="visible" name="AUTOMACAO" sheetId="10" r:id="rId14"/>
    <sheet state="visible" name="APURACAO" sheetId="11" r:id="rId15"/>
    <sheet state="visible" name="RESUMO" sheetId="12" r:id="rId16"/>
  </sheets>
  <definedNames>
    <definedName hidden="1" localSheetId="1" name="_xlnm._FilterDatabase">HISTORIAS!$A$3:$I$18</definedName>
    <definedName hidden="1" localSheetId="2" name="_xlnm._FilterDatabase">GABARITO!$A$3:$R$204</definedName>
    <definedName hidden="1" localSheetId="3" name="_xlnm._FilterDatabase">TABELA_DECISAO!$A$3:$I$102</definedName>
    <definedName hidden="1" localSheetId="4" name="_xlnm._FilterDatabase">'C0'!$A$3:$M$30</definedName>
    <definedName hidden="1" localSheetId="5" name="_xlnm._FilterDatabase">'C1'!$A$3:$N$25</definedName>
    <definedName hidden="1" localSheetId="6" name="_xlnm._FilterDatabase">'C2'!$A$3:$P$65</definedName>
    <definedName hidden="1" localSheetId="7" name="_xlnm._FilterDatabase">RASTREABILIDADE!$A$3:$J$480</definedName>
    <definedName hidden="1" localSheetId="8" name="_xlnm._FilterDatabase">INTERVENCOES!$A$3:$K$203</definedName>
    <definedName hidden="1" localSheetId="9" name="_xlnm._FilterDatabase">AUTOMACAO!$A$3:$N$239</definedName>
    <definedName hidden="1" localSheetId="10" name="_xlnm._FilterDatabase">APURACAO!$A$3:$J$203</definedName>
  </definedNames>
  <calcPr/>
</workbook>
</file>

<file path=xl/sharedStrings.xml><?xml version="1.0" encoding="utf-8"?>
<sst xmlns="http://schemas.openxmlformats.org/spreadsheetml/2006/main" count="5182" uniqueCount="1085">
  <si>
    <t>TCC — Instrumento de controle do experimento</t>
  </si>
  <si>
    <t>Avaliação de processos de Inteligência Artificial Generativa na geração e automação de cenários de teste em Gherkin (BDD) para apoio à qualidade de software</t>
  </si>
  <si>
    <t>Keurliano Araújo Lima — IFSC, Câmpus Florianópolis</t>
  </si>
  <si>
    <t>1. LEGENDA DE CORES</t>
  </si>
  <si>
    <t>HISTORIAS — candidatas e seleção</t>
  </si>
  <si>
    <t>GABARITO — regras, critérios e cenários esperados</t>
  </si>
  <si>
    <t>Fundo amarelo</t>
  </si>
  <si>
    <t>Registro das histórias de usuário do SauceDemo consideradas para o experimento. As três linhas abaixo são candidatas preliminares, não seleções confirmadas.</t>
  </si>
  <si>
    <t>Campo de preenchimento manual. A formatação condicional destaca em amarelo as células ainda vazias das linhas já iniciadas.</t>
  </si>
  <si>
    <t>ID da história</t>
  </si>
  <si>
    <t>Fundo verde</t>
  </si>
  <si>
    <t>Célula calculada por fórmula. Não editar.</t>
  </si>
  <si>
    <t>Sem preenchimento</t>
  </si>
  <si>
    <t>Campo opcional ou de texto livre.</t>
  </si>
  <si>
    <t>Nome da funcionalidade</t>
  </si>
  <si>
    <t>História de usuário</t>
  </si>
  <si>
    <t>Objetivo</t>
  </si>
  <si>
    <t>Critérios de seleção atendidos</t>
  </si>
  <si>
    <t>Pontuação da matriz de seleção</t>
  </si>
  <si>
    <t>Justificativa da seleção</t>
  </si>
  <si>
    <t>2. PARÂMETROS FIXOS DO EXPERIMENTO</t>
  </si>
  <si>
    <t>Construído manualmente ANTES de qualquer geração pela IA. Uma linha por cenário esperado. Não preencher regra ou cenário sem evidência registrada na coluna Fonte/evidência.</t>
  </si>
  <si>
    <t>Status da seleção</t>
  </si>
  <si>
    <t>Observações</t>
  </si>
  <si>
    <t>As três condições devem usar os mesmos parâmetros. Preencha aqui uma única vez: as abas C0, C1 e C2 puxam estes valores automaticamente.</t>
  </si>
  <si>
    <t>H01</t>
  </si>
  <si>
    <t>Modelo de IA</t>
  </si>
  <si>
    <t>GPT-5.6 Luna (Free)</t>
  </si>
  <si>
    <t xml:space="preserve"> </t>
  </si>
  <si>
    <t>Login / Autenticação</t>
  </si>
  <si>
    <t>Versão do modelo</t>
  </si>
  <si>
    <t>Instant</t>
  </si>
  <si>
    <t>História ID</t>
  </si>
  <si>
    <t>Temperatura</t>
  </si>
  <si>
    <t>Não disponibilizada pela interface</t>
  </si>
  <si>
    <t>Regra ID</t>
  </si>
  <si>
    <t>Top-p</t>
  </si>
  <si>
    <t>Não disponibilizado pela interface</t>
  </si>
  <si>
    <t>Condições</t>
  </si>
  <si>
    <t>C0, C1 e C2</t>
  </si>
  <si>
    <t>Uma linha por combinação de condições. Foram previstas seis colunas de condição; use apenas as necessárias em cada história e deixe as demais em branco.</t>
  </si>
  <si>
    <t>Histórias</t>
  </si>
  <si>
    <t>H1, H2 e H3</t>
  </si>
  <si>
    <t>Regra de negócio</t>
  </si>
  <si>
    <t>Critério de aceitação ID</t>
  </si>
  <si>
    <t>Execuções por condição/história</t>
  </si>
  <si>
    <r>
      <rPr>
        <rFont val="Arial"/>
        <b/>
        <color theme="1"/>
        <sz val="10.0"/>
      </rPr>
      <t>Como</t>
    </r>
    <r>
      <rPr>
        <rFont val="Arial"/>
        <color theme="1"/>
        <sz val="10.0"/>
      </rPr>
      <t xml:space="preserve"> usuário do sistema,
</t>
    </r>
    <r>
      <rPr>
        <rFont val="Arial"/>
        <b/>
        <color theme="1"/>
        <sz val="10.0"/>
      </rPr>
      <t>quero</t>
    </r>
    <r>
      <rPr>
        <rFont val="Arial"/>
        <color theme="1"/>
        <sz val="10.0"/>
      </rPr>
      <t xml:space="preserve"> informar meu nome de usuário e minha senha,
</t>
    </r>
    <r>
      <rPr>
        <rFont val="Arial"/>
        <b/>
        <color theme="1"/>
        <sz val="10.0"/>
      </rPr>
      <t>para</t>
    </r>
    <r>
      <rPr>
        <rFont val="Arial"/>
        <color theme="1"/>
        <sz val="10.0"/>
      </rPr>
      <t xml:space="preserve"> acessar a área de produtos quando minhas credenciais forem válidas.</t>
    </r>
  </si>
  <si>
    <t>Critério de aceitação</t>
  </si>
  <si>
    <t>3</t>
  </si>
  <si>
    <t>Tipo de regra</t>
  </si>
  <si>
    <t>Cenário esperado ID</t>
  </si>
  <si>
    <t>Descrição do cenário esperado</t>
  </si>
  <si>
    <t>Tipo de cenário</t>
  </si>
  <si>
    <t>Cenário ID</t>
  </si>
  <si>
    <t>Exceção?</t>
  </si>
  <si>
    <t>Condição inicial</t>
  </si>
  <si>
    <t>Condição 1</t>
  </si>
  <si>
    <t>Resultado esperado</t>
  </si>
  <si>
    <t>Fonte/evidência</t>
  </si>
  <si>
    <t>Condição 2</t>
  </si>
  <si>
    <t>Condição 3</t>
  </si>
  <si>
    <t>Status de revisão</t>
  </si>
  <si>
    <t>Data de congelamento</t>
  </si>
  <si>
    <t>Ação esperada</t>
  </si>
  <si>
    <t>Data da revisão</t>
  </si>
  <si>
    <t>Candidata</t>
  </si>
  <si>
    <t>Responsável pela revisão</t>
  </si>
  <si>
    <t>Registro preliminar. A seleção só se confirma após a aplicação dos critérios definidos na metodologia.</t>
  </si>
  <si>
    <t>Regra ID relacionada</t>
  </si>
  <si>
    <t>H02</t>
  </si>
  <si>
    <t>Carrinho de compras</t>
  </si>
  <si>
    <t>3. CONTROLE DE CONGELAMENTO DO GABARITO</t>
  </si>
  <si>
    <r>
      <rPr>
        <rFont val="Arial"/>
        <b/>
        <color theme="1"/>
        <sz val="10.0"/>
      </rPr>
      <t>Como</t>
    </r>
    <r>
      <rPr>
        <rFont val="Arial"/>
        <color theme="1"/>
        <sz val="10.0"/>
      </rPr>
      <t xml:space="preserve"> usuário autenticado, </t>
    </r>
    <r>
      <rPr>
        <rFont val="Arial"/>
        <b/>
        <color theme="1"/>
        <sz val="10.0"/>
      </rPr>
      <t>quero</t>
    </r>
    <r>
      <rPr>
        <rFont val="Arial"/>
        <color theme="1"/>
        <sz val="10.0"/>
      </rPr>
      <t xml:space="preserve"> adicionar produtos ao carrinho e visualizar e gerenciar os itens selecionados, </t>
    </r>
    <r>
      <rPr>
        <rFont val="Arial"/>
        <b/>
        <color theme="1"/>
        <sz val="10.0"/>
      </rPr>
      <t>para</t>
    </r>
    <r>
      <rPr>
        <rFont val="Arial"/>
        <color theme="1"/>
        <sz val="10.0"/>
      </rPr>
      <t xml:space="preserve"> revisar minha seleção antes de realizar o checkout.</t>
    </r>
  </si>
  <si>
    <t>O gabarito deve ser construído e congelado ANTES de qualquer geração pela IA. Após o congelamento, as regras não devem ser alteradas para acomodar o que a IA produziu. Se um erro real for identificado antes da geração, registre nova versão e justifique.</t>
  </si>
  <si>
    <t>Versão atual do gabarito</t>
  </si>
  <si>
    <t>RN02</t>
  </si>
  <si>
    <t>H03</t>
  </si>
  <si>
    <t>Checkout / Finalização da compra</t>
  </si>
  <si>
    <t>O Username deve ser informado para que a autenticação seja realizada.</t>
  </si>
  <si>
    <r>
      <rPr>
        <rFont val="Arial"/>
        <b/>
        <color theme="1"/>
        <sz val="10.0"/>
      </rPr>
      <t>Como</t>
    </r>
    <r>
      <rPr>
        <rFont val="Arial"/>
        <color theme="1"/>
        <sz val="10.0"/>
      </rPr>
      <t xml:space="preserve"> usuário autenticado, </t>
    </r>
    <r>
      <rPr>
        <rFont val="Arial"/>
        <b/>
        <color theme="1"/>
        <sz val="10.0"/>
      </rPr>
      <t>quero</t>
    </r>
    <r>
      <rPr>
        <rFont val="Arial"/>
        <color theme="1"/>
        <sz val="10.0"/>
      </rPr>
      <t xml:space="preserve"> informar meus dados e finalizar a compra, </t>
    </r>
    <r>
      <rPr>
        <rFont val="Arial"/>
        <b/>
        <color theme="1"/>
        <sz val="10.0"/>
      </rPr>
      <t>para</t>
    </r>
    <r>
      <rPr>
        <rFont val="Arial"/>
        <color theme="1"/>
        <sz val="10.0"/>
      </rPr>
      <t xml:space="preserve"> concluir o processo de aquisição dos produtos selecionados.</t>
    </r>
  </si>
  <si>
    <t>CA01</t>
  </si>
  <si>
    <t>Status</t>
  </si>
  <si>
    <t>TD01</t>
  </si>
  <si>
    <t>Dado que o usuário esteja na tela de login, ao não informar Username e tentar realizar o login, o sistema deve informar que o Username é obrigatório.</t>
  </si>
  <si>
    <t>Username não informado</t>
  </si>
  <si>
    <t>Password não informada</t>
  </si>
  <si>
    <t>Não se Aplica</t>
  </si>
  <si>
    <t>Impedir autenticação e informar que o Username é obrigatório</t>
  </si>
  <si>
    <t>Justificativa de nova versão (se houver)</t>
  </si>
  <si>
    <t>Obrigatoriedade</t>
  </si>
  <si>
    <t>SC01</t>
  </si>
  <si>
    <t>Negativo</t>
  </si>
  <si>
    <t>4. ORDEM DE PREENCHIMENTO</t>
  </si>
  <si>
    <t>Ao clicar em Login sem preencher os campos</t>
  </si>
  <si>
    <t>Tentativa de login sem informar Username</t>
  </si>
  <si>
    <t>Passo 1</t>
  </si>
  <si>
    <t>TD02</t>
  </si>
  <si>
    <t>Username informado</t>
  </si>
  <si>
    <t>HISTORIAS — registrar as candidatas, aplicar os critérios de seleção e definir o status de cada uma.</t>
  </si>
  <si>
    <t>Impedir autenticação e informar que a Password é obrigatória</t>
  </si>
  <si>
    <t>RN03</t>
  </si>
  <si>
    <t>Não</t>
  </si>
  <si>
    <t>Passo 2</t>
  </si>
  <si>
    <t>Usuário na tela de login, Username e Password não informados</t>
  </si>
  <si>
    <t>GABARITO — enumerar regras de negócio, critérios de aceitação e cenários esperados, com evidência para cada linha.</t>
  </si>
  <si>
    <t>Impedir a autenticação e informar que o Username é obrigatório.</t>
  </si>
  <si>
    <t>Username informado e Password vazia</t>
  </si>
  <si>
    <t>Teste manual no SauceDemo: tentativa de login sem Username apresentou a mensagem de obrigatoriedade do Username.</t>
  </si>
  <si>
    <t>Passo 3</t>
  </si>
  <si>
    <t>Cenário relacionado à validação de campo obrigatório.</t>
  </si>
  <si>
    <t>TABELA_DECISAO — modelar as combinações de condições e ações de cada história.</t>
  </si>
  <si>
    <t>TD03</t>
  </si>
  <si>
    <t>Username inexistente</t>
  </si>
  <si>
    <t>Passo 4</t>
  </si>
  <si>
    <t>Password informada</t>
  </si>
  <si>
    <t>Congelar o gabarito e registrar o congelamento no bloco 3 desta aba.</t>
  </si>
  <si>
    <t>Impedir autenticação e informar que Username e Password não correspondem a um usuário disponível</t>
  </si>
  <si>
    <t>Em revisão</t>
  </si>
  <si>
    <t>RN04</t>
  </si>
  <si>
    <t>Passo 5</t>
  </si>
  <si>
    <t>C0, C1 e C2 — executar as gerações e registrar prompt, entradas e saída bruta de cada execução.</t>
  </si>
  <si>
    <t>Passo 6</t>
  </si>
  <si>
    <t>Utilizar um Username que não exista no ambiente</t>
  </si>
  <si>
    <t>RASTREABILIDADE — lançar uma linha por cenário gerado, associando-o (ou não) a uma regra do gabarito.</t>
  </si>
  <si>
    <t>TD04</t>
  </si>
  <si>
    <t>Passo 7</t>
  </si>
  <si>
    <t>Username válido</t>
  </si>
  <si>
    <t>INTERVENCOES — registrar cada correção humana realizada.</t>
  </si>
  <si>
    <t>Keurliano Araújo</t>
  </si>
  <si>
    <t>Password incorreta</t>
  </si>
  <si>
    <t>Passo 8</t>
  </si>
  <si>
    <t>Não bloqueado</t>
  </si>
  <si>
    <t>AUTOMACAO — registrar implementação e execução das definições de passo.</t>
  </si>
  <si>
    <t>Passo 9</t>
  </si>
  <si>
    <t>RESUMO — conferir as métricas calculadas e preencher os campos de apuração manual.</t>
  </si>
  <si>
    <t>A Password deve ser informada para que a autenticação seja realizada.</t>
  </si>
  <si>
    <t>Utilizar usuário válido com senha diferente de secret_sauce</t>
  </si>
  <si>
    <t>CA02</t>
  </si>
  <si>
    <t>Dado que o Username tenha sido informado, ao não informar Password e tentar realizar o login, o sistema deve informar que a Password é obrigatória.</t>
  </si>
  <si>
    <t>TD05</t>
  </si>
  <si>
    <t>5. ABA AUXILIAR</t>
  </si>
  <si>
    <t>Username = locked_out_user</t>
  </si>
  <si>
    <t>Password = secret_sauce</t>
  </si>
  <si>
    <t>SC02</t>
  </si>
  <si>
    <t>Bloqueado</t>
  </si>
  <si>
    <t>Tentativa de login sem informar Password</t>
  </si>
  <si>
    <t>APURACAO</t>
  </si>
  <si>
    <t>Impedir autenticação e informar que o usuário está bloqueado</t>
  </si>
  <si>
    <t>Aba de apoio ao cálculo. Espelha linha a linha o GABARITO e marca, por condição, se cada regra e cada cenário de exceção foi coberto. É lida pela aba RESUMO. Não editar.</t>
  </si>
  <si>
    <t>RN05</t>
  </si>
  <si>
    <t>Exceção</t>
  </si>
  <si>
    <t>Username informado e Password não informada</t>
  </si>
  <si>
    <t>Comportamento observado no ambiente</t>
  </si>
  <si>
    <t>6. EXEMPLOS DE PREENCHIMENTO</t>
  </si>
  <si>
    <t>Impedir a autenticação e informar que a Password é obrigatória.</t>
  </si>
  <si>
    <t>Teste manual no SauceDemo: tentativa de login sem Password apresentou a mensagem de obrigatoriedade da Password.</t>
  </si>
  <si>
    <t>TD06</t>
  </si>
  <si>
    <t>As linhas abaixo mostram apenas o formato esperado de cada campo. NÃO são dados do experimento e não devem ser copiadas para as demais abas.</t>
  </si>
  <si>
    <t>Password válida</t>
  </si>
  <si>
    <t>Permitir autenticação e direcionar para a área de produtos</t>
  </si>
  <si>
    <t>EXEMPLO – NÃO FAZ PARTE DOS RESULTADOS</t>
  </si>
  <si>
    <t>RN06, RN07</t>
  </si>
  <si>
    <t>Positivo</t>
  </si>
  <si>
    <t>Utilizar, por exemplo, standard_user + secret_sauce</t>
  </si>
  <si>
    <t>GABARITO</t>
  </si>
  <si>
    <t>O sistema deve rejeitar credenciais que não correspondam a um usuário válido.</t>
  </si>
  <si>
    <t>História ID = H1 | Regra ID = H1-RN-01 | Critério ID = H1-CA-01 | Cenário esperado ID = H1-CE-01 | Tipo de cenário = Principal | Exceção? = Não | Fonte/evidência = observação da aplicação em 2026-09-14, tela de login</t>
  </si>
  <si>
    <t>CA03</t>
  </si>
  <si>
    <t>Dado que o usuário informe um Username inexistente e uma Password, o sistema deve impedir o acesso e informar que as credenciais não correspondem a um usuário disponível.</t>
  </si>
  <si>
    <t>C0 / C1 / C2</t>
  </si>
  <si>
    <t>Validação</t>
  </si>
  <si>
    <t>História ID = H1 | Execução ID = E1 | Data = 2026-09-14 | Quantidade de cenários gerados = (número inteiro) | Arquivo da saída bruta = saidas/C0_H1_E1.txt</t>
  </si>
  <si>
    <t>SC03</t>
  </si>
  <si>
    <t>Tentativa de login com Username inexistente</t>
  </si>
  <si>
    <t>RASTREABILIDADE</t>
  </si>
  <si>
    <t>Condição = C0 | História ID = H1 | Execução ID = E1 | Cenário gerado ID = C0-H1-E1-01 | Regra ID do gabarito = H1-RN-01 | Correspondência com regra? = Sim | Cenário espúrio? = Não</t>
  </si>
  <si>
    <t>Username inexistente e Password informada</t>
  </si>
  <si>
    <t>INTERVENCOES</t>
  </si>
  <si>
    <t>Impedir a autenticação e informar que Username e Password não correspondem a um usuário disponível.</t>
  </si>
  <si>
    <t>Tipo de intervenção = Complementação de cobertura | Tempo aproximado (min) = (número) | Responsável = (iniciais)</t>
  </si>
  <si>
    <t>Teste manual no SauceDemo: tentativa com Username inexistente apresentou mensagem de credenciais inválidas.</t>
  </si>
  <si>
    <t>Cenário de credenciais inválidas por Username inexistente.</t>
  </si>
  <si>
    <t>AUTOMACAO</t>
  </si>
  <si>
    <t>Executado sem correção? = Não | Executado após correção? = Sim | Falhou por problema técnico/ambiente? = Não</t>
  </si>
  <si>
    <t>TD07</t>
  </si>
  <si>
    <t>7. CRITÉRIOS DE COBERTURA</t>
  </si>
  <si>
    <t>Produto disponível na área de produtos</t>
  </si>
  <si>
    <t>CA04</t>
  </si>
  <si>
    <t>Dado que o usuário informe um Username válido e uma Password incorreta, o sistema deve impedir o acesso e informar que as credenciais não correspondem a um usuário disponível.</t>
  </si>
  <si>
    <t>Produto ainda não está no carrinho</t>
  </si>
  <si>
    <t>Usuário autenticado</t>
  </si>
  <si>
    <t>SC04</t>
  </si>
  <si>
    <t>Tentativa de login com Password incorreta</t>
  </si>
  <si>
    <t>Adicionar o produto ao carrinho e atualizar o indicador de quantidade</t>
  </si>
  <si>
    <r>
      <rPr>
        <rFont val="Arial"/>
        <b/>
        <i/>
        <color rgb="FF7F7F7F"/>
        <sz val="10.0"/>
      </rPr>
      <t>Critério de cobertura:</t>
    </r>
    <r>
      <rPr>
        <rFont val="Arial"/>
        <i/>
        <color rgb="FF7F7F7F"/>
        <sz val="10.0"/>
      </rPr>
      <t xml:space="preserve"> uma regra de negócio será considerada coberta somente quando o cenário gerado atender integralmente à condição ou comportamento definido e ao resultado esperado registrado no gabarito. Quando apenas parte dos requisitos for atendida, a regra será classificada como não coberta, e a situação deverá ser registrada nas observações.</t>
    </r>
  </si>
  <si>
    <t>RN08</t>
  </si>
  <si>
    <t>Registro do congelamento do gabarito</t>
  </si>
  <si>
    <t>Selecionar a opção de adicionar um produto ao carrinho</t>
  </si>
  <si>
    <t>TD08</t>
  </si>
  <si>
    <t>Produto já está no carrinho</t>
  </si>
  <si>
    <r>
      <rPr>
        <rFont val="Arial"/>
        <b/>
        <i/>
        <color rgb="FF7F7F7F"/>
        <sz val="10.0"/>
      </rPr>
      <t>Versão congelada:</t>
    </r>
    <r>
      <rPr>
        <rFont val="Arial"/>
        <i/>
        <color rgb="FF7F7F7F"/>
        <sz val="10.0"/>
      </rPr>
      <t xml:space="preserve"> 1.0
</t>
    </r>
    <r>
      <rPr>
        <rFont val="Arial"/>
        <b/>
        <i/>
        <color rgb="FF7F7F7F"/>
        <sz val="10.0"/>
      </rPr>
      <t>Data de congelamento:</t>
    </r>
    <r>
      <rPr>
        <rFont val="Arial"/>
        <i/>
        <color rgb="FF7F7F7F"/>
        <sz val="10.0"/>
      </rPr>
      <t xml:space="preserve"> 29/09/2026
</t>
    </r>
    <r>
      <rPr>
        <rFont val="Arial"/>
        <b/>
        <i/>
        <color rgb="FF7F7F7F"/>
        <sz val="10.0"/>
      </rPr>
      <t xml:space="preserve">Quantidade de histórias: </t>
    </r>
    <r>
      <rPr>
        <rFont val="Arial"/>
        <i/>
        <color rgb="FF7F7F7F"/>
        <sz val="10.0"/>
      </rPr>
      <t xml:space="preserve">3 (H01, H02 e H03)
</t>
    </r>
    <r>
      <rPr>
        <rFont val="Arial"/>
        <b/>
        <i/>
        <color rgb="FF7F7F7F"/>
        <sz val="10.0"/>
      </rPr>
      <t>Quantidade de regras de negócio mensuráveis:</t>
    </r>
    <r>
      <rPr>
        <rFont val="Arial"/>
        <i/>
        <color rgb="FF7F7F7F"/>
        <sz val="10.0"/>
      </rPr>
      <t xml:space="preserve"> 23 (RN02 a RN24)
</t>
    </r>
    <r>
      <rPr>
        <rFont val="Arial"/>
        <b/>
        <i/>
        <color rgb="FF7F7F7F"/>
        <sz val="10.0"/>
      </rPr>
      <t>Quantidade de cenários esperados:</t>
    </r>
    <r>
      <rPr>
        <rFont val="Arial"/>
        <i/>
        <color rgb="FF7F7F7F"/>
        <sz val="10.0"/>
      </rPr>
      <t xml:space="preserve"> 21 (SC01 a SC21)
</t>
    </r>
    <r>
      <rPr>
        <rFont val="Arial"/>
        <b/>
        <i/>
        <color rgb="FF7F7F7F"/>
        <sz val="10.0"/>
      </rPr>
      <t>Finalidade:</t>
    </r>
    <r>
      <rPr>
        <rFont val="Arial"/>
        <i/>
        <color rgb="FF7F7F7F"/>
        <sz val="10.0"/>
      </rPr>
      <t xml:space="preserve"> estabelecer a referência independente para avaliação da cobertura das regras de negócio e dos cenários de exceção nas condições experimentais C0, C1 e C2.
Condição do congelamento: o gabarito foi revisado e definido antes da geração dos cenários pela Inteligência Artificial Generativa.</t>
    </r>
  </si>
  <si>
    <t>Username válido e Password incorreta</t>
  </si>
  <si>
    <t>Impedir a adição de uma segunda ocorrência do mesmo produto</t>
  </si>
  <si>
    <t>Teste manual no SauceDemo: tentativa com Username válido e Password incorreta apresentou mensagem de credenciais inválidas.</t>
  </si>
  <si>
    <t>RN09</t>
  </si>
  <si>
    <t>Cenário de credenciais inválidas por Password incorreta.</t>
  </si>
  <si>
    <t>Tentar adicionar novamente um produto que já foi adicionado</t>
  </si>
  <si>
    <t>O sistema deve impedir o acesso de um usuário bloqueado.</t>
  </si>
  <si>
    <t>TD09</t>
  </si>
  <si>
    <t>CA05</t>
  </si>
  <si>
    <t>Um ou mais produtos adicionados</t>
  </si>
  <si>
    <t>Dado que o usuário informe as credenciais de locked_out_user, o sistema deve impedir o acesso e informar que o usuário está bloqueado.</t>
  </si>
  <si>
    <t>Usuário acessa o carrinho</t>
  </si>
  <si>
    <t>Restrição</t>
  </si>
  <si>
    <t>SC05</t>
  </si>
  <si>
    <t>Apresentar os produtos selecionados com suas informações de identificação, quantidade e preço</t>
  </si>
  <si>
    <t>Tentativa de login com usuário bloqueado</t>
  </si>
  <si>
    <t>RN10</t>
  </si>
  <si>
    <t>Sim</t>
  </si>
  <si>
    <t>Verificar as informações apresentadas para os produtos</t>
  </si>
  <si>
    <t>Username locked_out_user e Password secret_sauce</t>
  </si>
  <si>
    <t>Impedir a autenticação e informar que o usuário está bloqueado.</t>
  </si>
  <si>
    <t>TD10</t>
  </si>
  <si>
    <t>Teste manual no SauceDemo: tentativa com locked_out_user e secret_sauce apresentou mensagem de usuário bloqueado.</t>
  </si>
  <si>
    <t>Dois ou mais produtos no carrinho</t>
  </si>
  <si>
    <t>Comportamento de exceção observado no ambiente.</t>
  </si>
  <si>
    <t>Um dos produtos é selecionado para remoção</t>
  </si>
  <si>
    <t>Remover o produto selecionado e atualizar o indicador de quantidade, mantendo os demais produtos</t>
  </si>
  <si>
    <t>RN11</t>
  </si>
  <si>
    <t>RN06</t>
  </si>
  <si>
    <t>O sistema deve permitir o acesso quando forem utilizadas credenciais válidas.</t>
  </si>
  <si>
    <t>CA06</t>
  </si>
  <si>
    <t>Dado que o usuário informe credenciais válidas, o sistema deve permitir o acesso. Após o login realizado com sucesso, o sistema deve direcionar o usuário para a área de produtos.</t>
  </si>
  <si>
    <t>Verificar que os demais produtos permanecem no carrinho</t>
  </si>
  <si>
    <t>Autenticação/Fluxo</t>
  </si>
  <si>
    <t>SC06</t>
  </si>
  <si>
    <t>TD11</t>
  </si>
  <si>
    <t>Um ou mais produtos no carrinho</t>
  </si>
  <si>
    <t>Todos os produtos são removidos</t>
  </si>
  <si>
    <t>Manter o carrinho sem produtos</t>
  </si>
  <si>
    <t>RN12</t>
  </si>
  <si>
    <t>Representa o estado vazio do carrinho após a remoção</t>
  </si>
  <si>
    <t>TD12</t>
  </si>
  <si>
    <t>Usuário está na página do carrinho</t>
  </si>
  <si>
    <t>Login com credenciais válidas</t>
  </si>
  <si>
    <t>Opção Continue Shopping selecionada</t>
  </si>
  <si>
    <t>Direcionar o usuário para a área de produtos</t>
  </si>
  <si>
    <t>RN13</t>
  </si>
  <si>
    <t>Username standard_user e Password secret_sauce</t>
  </si>
  <si>
    <t>Permitir a autenticação e direcionar o usuário para a área de produtos.</t>
  </si>
  <si>
    <t>Teste manual no SauceDemo: autenticação com standard_user e secret_sauce permitiu acesso à área de produtos.</t>
  </si>
  <si>
    <t>Verificar o retorno à área de produtos</t>
  </si>
  <si>
    <t>Um único cenário cobre o comportamento de autenticação e o fluxo posterior.</t>
  </si>
  <si>
    <t>TD13</t>
  </si>
  <si>
    <t>Opção Checkout selecionada</t>
  </si>
  <si>
    <t>RN07</t>
  </si>
  <si>
    <t>Usuário autenticado e com pelo menos um produto</t>
  </si>
  <si>
    <t>Após uma autenticação válida, o usuário deve ser direcionado para a área de produtos.</t>
  </si>
  <si>
    <t>CA07</t>
  </si>
  <si>
    <t>Direcionar o usuário para a etapa de preenchimento das informações necessárias para continuar a compra</t>
  </si>
  <si>
    <t>RN14</t>
  </si>
  <si>
    <t>Após o login realizado com sucesso, o usuário deve ser direcionado para a área de produtos.</t>
  </si>
  <si>
    <t>Representa o início do processo de checkout</t>
  </si>
  <si>
    <t>Acesso à área de produtos após autenticação válida</t>
  </si>
  <si>
    <t>TD14</t>
  </si>
  <si>
    <t>O usuário está na tela de login e possui credenciais válidas de um usuário não bloqueado.</t>
  </si>
  <si>
    <t>O sistema deve permitir a autenticação e direcionar o usuário para a área de produtos.</t>
  </si>
  <si>
    <t>Teste manual no SauceDemo</t>
  </si>
  <si>
    <t>N/A</t>
  </si>
  <si>
    <t>First Name não informado</t>
  </si>
  <si>
    <t>Last Name não informado</t>
  </si>
  <si>
    <t>Postal Code não informado</t>
  </si>
  <si>
    <t>Impedir o avanço e informar que o First Name é obrigatório</t>
  </si>
  <si>
    <t>RN15</t>
  </si>
  <si>
    <t>Tentar continuar sem informar o First Name</t>
  </si>
  <si>
    <t>TD15</t>
  </si>
  <si>
    <t>First Name informado</t>
  </si>
  <si>
    <t>Impedir o avanço e informar que o Last Name é obrigatório</t>
  </si>
  <si>
    <t>RN16</t>
  </si>
  <si>
    <t>Tentar continuar sem informar o Last Name</t>
  </si>
  <si>
    <t>TD16</t>
  </si>
  <si>
    <t>Last Name informado</t>
  </si>
  <si>
    <t>Impedir o avanço e informar que o Postal Code é obrigatório</t>
  </si>
  <si>
    <t>RN17</t>
  </si>
  <si>
    <t>O sistema deve permitir que o usuário adicione um produto ao carrinho.</t>
  </si>
  <si>
    <t>CA08</t>
  </si>
  <si>
    <t>Tentar continuar sem informar o Postal Code</t>
  </si>
  <si>
    <t>Dado que o usuário esteja na área de produtos, ao selecionar a opção para adicionar um produto ao carrinho, o sistema deve adicionar o produto ao carrinho e atualizar o indicador de quantidade do carrinho.</t>
  </si>
  <si>
    <t>TD17</t>
  </si>
  <si>
    <t>SC07</t>
  </si>
  <si>
    <t>Adição de um produto ao carrinho</t>
  </si>
  <si>
    <t>Postal Code informado</t>
  </si>
  <si>
    <t>Permitir o avanço e apresentar a etapa Checkout: Overview</t>
  </si>
  <si>
    <t>Usuário autenticado e na área de produtos, com pelo menos um produto disponível</t>
  </si>
  <si>
    <t>RN18, RN20</t>
  </si>
  <si>
    <t>O produto selecionado é adicionado ao carrinho e o indicador de quantidade é atualizado</t>
  </si>
  <si>
    <t>Teste manual realizado no ambiente SauceDemo</t>
  </si>
  <si>
    <t>Cenário relacionado à adição de produto ao carrinho</t>
  </si>
  <si>
    <t>Preencher os três campos obrigatórios e selecionar Continue</t>
  </si>
  <si>
    <t>TD18</t>
  </si>
  <si>
    <t>Usuário está na etapa de preenchimento do checkout</t>
  </si>
  <si>
    <t>Opção Cancel selecionada</t>
  </si>
  <si>
    <t>O sistema não deve permitir que o mesmo produto seja adicionado mais de uma vez ao carrinho.</t>
  </si>
  <si>
    <t>CA09</t>
  </si>
  <si>
    <t>Cancelar o processo e direcionar o usuário para a área de produtos</t>
  </si>
  <si>
    <t>Dado que um produto já tenha sido adicionado ao carrinho, ao tentar adicioná-lo novamente, o sistema não deve adicionar uma segunda ocorrência do mesmo produto.</t>
  </si>
  <si>
    <t>RN19</t>
  </si>
  <si>
    <t>Cancelar o checkout antes de avançar para o Checkout: Overview</t>
  </si>
  <si>
    <t>SC08</t>
  </si>
  <si>
    <t>Tentativa de adicionar novamente um produto que já está no carrinho</t>
  </si>
  <si>
    <t>TD19</t>
  </si>
  <si>
    <t>Usuário está na etapa Checkout: Overview</t>
  </si>
  <si>
    <t>Opção Finish selecionada</t>
  </si>
  <si>
    <t>Usuário autenticado e com um produto já adicionado ao carrinho</t>
  </si>
  <si>
    <t>Dados obrigatórios preenchidos</t>
  </si>
  <si>
    <t>O sistema não adiciona uma segunda ocorrência do mesmo produto</t>
  </si>
  <si>
    <t>Finalizar a compra e apresentar a página Checkout: Complete!</t>
  </si>
  <si>
    <t>Cenário relacionado à restrição de duplicidade de produtos</t>
  </si>
  <si>
    <t>RN21, RN22</t>
  </si>
  <si>
    <t>Selecionar Finish para concluir o processo de compra</t>
  </si>
  <si>
    <t>TD20</t>
  </si>
  <si>
    <t>O sistema deve apresentar no carrinho os produtos que foram adicionados pelo usuário, juntamente com suas informações de identificação, quantidade e preço.</t>
  </si>
  <si>
    <t>Usuário está na página Checkout: Complete!</t>
  </si>
  <si>
    <t>CA10</t>
  </si>
  <si>
    <t>Dado que o usuário tenha adicionado produtos ao carrinho, ao acessar o carrinho, o sistema deve apresentar os produtos selecionados juntamente com suas informações de identificação, quantidade e preço.</t>
  </si>
  <si>
    <t>Opção “Voltar para a tela inicial” selecionada</t>
  </si>
  <si>
    <t>SC09</t>
  </si>
  <si>
    <t>Direcionar o usuário para a página de produtos</t>
  </si>
  <si>
    <t>Visualização dos produtos adicionados no carrinho</t>
  </si>
  <si>
    <t>RN23</t>
  </si>
  <si>
    <t>Usuário autenticado e com um ou mais produtos adicionados ao carrinho</t>
  </si>
  <si>
    <t>Retornar à área de produtos após a conclusão da compra</t>
  </si>
  <si>
    <t>O carrinho apresenta os produtos selecionados, juntamente com suas informações de identificação, quantidade e preço</t>
  </si>
  <si>
    <t>TD21</t>
  </si>
  <si>
    <t>Cenário relacionado à apresentação dos itens do carrinho</t>
  </si>
  <si>
    <t>Opção “Gerar o PDF do pedido” selecionada</t>
  </si>
  <si>
    <t>Gerar e baixar um documento contendo as informações do recibo do pedido</t>
  </si>
  <si>
    <t>RN24</t>
  </si>
  <si>
    <t>O sistema deve permitir que o usuário remova produtos do carrinho.</t>
  </si>
  <si>
    <t>CA11</t>
  </si>
  <si>
    <t>Dado que existam produtos no carrinho, ao selecionar a opção de remover um produto, o sistema deve retirar o produto do carrinho e atualizar o indicador de quantidade.</t>
  </si>
  <si>
    <t>SC10</t>
  </si>
  <si>
    <t>Remoção de um produto do carrinho</t>
  </si>
  <si>
    <t>Usuário autenticado e com pelo menos dois produtos no carrinho</t>
  </si>
  <si>
    <t>O produto selecionado é removido do carrinho e o indicador de quantidade é atualizado, mantendo os demais produtos</t>
  </si>
  <si>
    <t>Cenário relacionado à remoção de um item sem esvaziar o carrinho</t>
  </si>
  <si>
    <t>O sistema deve permitir que o carrinho permaneça sem produtos após a remoção de todos os itens.</t>
  </si>
  <si>
    <t>CA12</t>
  </si>
  <si>
    <t>Dado que existam produtos no carrinho, ao remover todos os produtos, o sistema deve manter o carrinho sem itens.</t>
  </si>
  <si>
    <t>SC11</t>
  </si>
  <si>
    <t>Remoção de todos os produtos do carrinho</t>
  </si>
  <si>
    <t>Usuário autenticado e com um ou mais produtos no carrinho</t>
  </si>
  <si>
    <t>O carrinho permanece sem produtos após a remoção de todos os itens</t>
  </si>
  <si>
    <t>Cenário relacionado ao estado vazio do carrinho após a remoção dos itens</t>
  </si>
  <si>
    <t>O sistema deve permitir que o usuário retorne à área de produtos por meio da opção Continue Shopping.</t>
  </si>
  <si>
    <t>CA13</t>
  </si>
  <si>
    <t>Dado que o usuário esteja na página do carrinho, ao selecionar a opção Continue Shopping, o sistema deve direcioná-lo para a área de produtos.</t>
  </si>
  <si>
    <t>SC12</t>
  </si>
  <si>
    <t>Retorno à área de produtos por meio do Continue Shopping</t>
  </si>
  <si>
    <t>Usuário autenticado e na página do carrinho</t>
  </si>
  <si>
    <t>O sistema direciona o usuário para a área de produtos ao selecionar a opção Continue Shopping</t>
  </si>
  <si>
    <t>Cenário relacionado à navegação entre o carrinho e a área de produtos</t>
  </si>
  <si>
    <t>O sistema deve permitir que o usuário avance para o processo de checkout por meio da opção Checkout.</t>
  </si>
  <si>
    <t>CA14</t>
  </si>
  <si>
    <t>Dado que o usuário esteja na página do carrinho, ao selecionar a opção Checkout, o sistema deve direcioná-lo para a etapa de preenchimento das informações necessárias para continuar a compra.</t>
  </si>
  <si>
    <t>SC13</t>
  </si>
  <si>
    <t>Avanço do carrinho para o checkout</t>
  </si>
  <si>
    <t>Usuário autenticado, na página do carrinho e com pelo menos um produto selecionado</t>
  </si>
  <si>
    <t>O sistema direciona o usuário para a etapa de preenchimento das informações necessárias para continuar a compra ao selecionar a opção Checkout</t>
  </si>
  <si>
    <t>Cenário relacionado ao início do processo de checkout</t>
  </si>
  <si>
    <t>O sistema deve exigir o preenchimento do First Name para que o usuário avance no checkout.</t>
  </si>
  <si>
    <t>CA15</t>
  </si>
  <si>
    <t>Dado que o usuário esteja na etapa de preenchimento das informações do checkout, ao tentar continuar sem informar o First Name, o sistema deve impedir o avanço e informar que o First Name é obrigatório.</t>
  </si>
  <si>
    <t>SC14</t>
  </si>
  <si>
    <t>Tentativa de avançar no checkout sem informar o First Name</t>
  </si>
  <si>
    <t>Usuário está na etapa de preenchimento das informações do checkout, sem informar o First Name</t>
  </si>
  <si>
    <t>O sistema impede o avanço e informa que o First Name é obrigatório</t>
  </si>
  <si>
    <t>Cenário relacionado à validação de campo obrigatório</t>
  </si>
  <si>
    <t>O sistema deve exigir o preenchimento do Last Name para que o usuário avance no checkout.</t>
  </si>
  <si>
    <t>CA16</t>
  </si>
  <si>
    <t>Dado que o usuário tenha informado o First Name, ao tentar continuar sem informar o Last Name, o sistema deve impedir o avanço e informar que o Last Name é obrigatório.</t>
  </si>
  <si>
    <t>SC15</t>
  </si>
  <si>
    <t>Tentativa de avançar no checkout sem informar o Last Name</t>
  </si>
  <si>
    <t>Usuário informou o First Name, mas não informou o Last Name</t>
  </si>
  <si>
    <t>O sistema impede o avanço e informa que o Last Name é obrigatório</t>
  </si>
  <si>
    <t>O sistema deve exigir o preenchimento do Postal Code para que o usuário avance no checkout.</t>
  </si>
  <si>
    <t>CA17</t>
  </si>
  <si>
    <t>Dado que o usuário tenha informado o First Name e o Last Name, ao tentar continuar sem informar o Postal Code, o sistema deve impedir o avanço e informar que o Postal Code é obrigatório.</t>
  </si>
  <si>
    <t>SC16</t>
  </si>
  <si>
    <t>Tentativa de avançar no checkout sem informar o Postal Code</t>
  </si>
  <si>
    <t>Usuário informou o First Name e o Last Name, mas não informou o Postal Code</t>
  </si>
  <si>
    <t>O sistema impede o avanço e informa que o Postal Code é obrigatório</t>
  </si>
  <si>
    <t>RN18</t>
  </si>
  <si>
    <t>O sistema deve permitir que o usuário avance para o Checkout: Overview quando os dados obrigatórios estiverem preenchidos.</t>
  </si>
  <si>
    <t>CA18</t>
  </si>
  <si>
    <t>Dado que o usuário tenha preenchido o First Name, o Last Name e o Postal Code, ao selecionar a opção Continue, o sistema deve permitir o avanço para a etapa Checkout: Overview.</t>
  </si>
  <si>
    <t>SC17</t>
  </si>
  <si>
    <t>Avanço para a etapa Checkout: Overview com os dados obrigatórios preenchidos</t>
  </si>
  <si>
    <t>Usuário está na etapa de preenchimento das informações do checkout e informou First Name, Last Name e Postal Code</t>
  </si>
  <si>
    <t>Ao selecionar a opção Continue, o sistema permite o avanço e apresenta a etapa Checkout: Overview</t>
  </si>
  <si>
    <t>Teste manual realizado no ambiente SauceDemo: com os três campos preenchidos, a seleção de Continue direcionou para Checkout: Overview</t>
  </si>
  <si>
    <t>Cenário relacionado ao avanço no checkout e à apresentação da etapa de revisão da compra</t>
  </si>
  <si>
    <t>O sistema deve permitir que o usuário cancele o preenchimento das informações do checkout e retorne à área de produtos.</t>
  </si>
  <si>
    <t>CA19</t>
  </si>
  <si>
    <t>Dado que o usuário esteja na etapa de preenchimento das informações do checkout, ao selecionar a opção Cancel, o sistema deve cancelar o processo e direcionar o usuário para a área de produtos.</t>
  </si>
  <si>
    <t>SC18</t>
  </si>
  <si>
    <t>Cancelamento do preenchimento das informações do checkout</t>
  </si>
  <si>
    <t>Usuário está na etapa de preenchimento das informações do checkout</t>
  </si>
  <si>
    <t>Ao selecionar a opção Cancel, o sistema cancela o processo e direciona o usuário para a área de produtos</t>
  </si>
  <si>
    <t>Teste manual realizado no ambiente SauceDemo: a seleção de Cancel na etapa de preenchimento retornou para a área de produtos</t>
  </si>
  <si>
    <t>Cenário relacionado ao cancelamento do checkout antes do avanço para a etapa Checkout: Overview</t>
  </si>
  <si>
    <t>RN20</t>
  </si>
  <si>
    <t>O sistema deve apresentar a etapa Checkout: Overview antes da finalização da compra.</t>
  </si>
  <si>
    <t>CA20</t>
  </si>
  <si>
    <t>Dado que o usuário tenha preenchido corretamente os dados obrigatórios e avançado no checkout, o sistema deve apresentar a etapa Checkout: Overview antes da finalização da compra.</t>
  </si>
  <si>
    <t>RN21</t>
  </si>
  <si>
    <t>O sistema deve permitir que o usuário finalize a compra por meio da opção Finish.</t>
  </si>
  <si>
    <t>CA21</t>
  </si>
  <si>
    <t>Dado que o usuário esteja na etapa Checkout: Overview, ao selecionar a opção Finish, o sistema deve finalizar o processo de compra.</t>
  </si>
  <si>
    <t>SC19</t>
  </si>
  <si>
    <t>Finalização da compra e apresentação da confirmação de conclusão</t>
  </si>
  <si>
    <t>Usuário está na etapa Checkout: Overview após preencher corretamente os dados obrigatórios</t>
  </si>
  <si>
    <t>Ao selecionar a opção Finish, o sistema finaliza o processo e apresenta a página Checkout: Complete!</t>
  </si>
  <si>
    <t>Teste manual realizado no ambiente SauceDemo: a seleção de Finish direcionou para a página Checkout: Complete!</t>
  </si>
  <si>
    <t>Cenário relacionado à finalização da compra e à confirmação de conclusão do processo</t>
  </si>
  <si>
    <t>RN22</t>
  </si>
  <si>
    <t>O sistema deve apresentar a confirmação de conclusão da compra após a finalização.</t>
  </si>
  <si>
    <t>CA22</t>
  </si>
  <si>
    <t>Dado que o usuário tenha finalizado o processo de compra, o sistema deve apresentar a página Checkout: Complete!.</t>
  </si>
  <si>
    <t>O sistema deve permitir que o usuário retorne à página de produtos após a conclusão da compra, por meio da opção “Voltar para a tela inicial”.</t>
  </si>
  <si>
    <t>CA23</t>
  </si>
  <si>
    <t>Dado que o usuário esteja na página Checkout: Complete!, ao selecionar a opção “Voltar para a tela inicial”, o sistema deve direcioná-lo para a página de produtos.</t>
  </si>
  <si>
    <t>SC20</t>
  </si>
  <si>
    <t>Retorno à página de produtos após a conclusão da compra</t>
  </si>
  <si>
    <t>Usuário está na página Checkout: Complete! após finalizar a compra</t>
  </si>
  <si>
    <t>Ao selecionar a opção “Voltar para a tela inicial”, o usuário é direcionado para a página de produtos</t>
  </si>
  <si>
    <t>Teste manual realizado no ambiente SauceDemo: após a conclusão da compra, a seleção da opção “Voltar para a tela inicial” direcionou o usuário para a página de produtos</t>
  </si>
  <si>
    <t>Cenário relacionado ao retorno à área de produtos após a conclusão da compra</t>
  </si>
  <si>
    <t>O sistema deve permitir que o usuário gere o PDF do pedido após a conclusão da compra.</t>
  </si>
  <si>
    <t>CA24</t>
  </si>
  <si>
    <t>Dado que o usuário esteja na página Checkout: Complete!, ao selecionar a opção Gerar o PDF do pedido, o sistema deve gerar e baixar um documento contendo as informações do recibo do pedido.</t>
  </si>
  <si>
    <t>SC21</t>
  </si>
  <si>
    <t>Geração e download do PDF do pedido após a conclusão da compra</t>
  </si>
  <si>
    <t>Usuário está na página Checkout: Complete! após finalizar a compra.</t>
  </si>
  <si>
    <t>Ao selecionar a opção “Gerar o PDF do pedido”, o sistema gera e baixa um documento contendo as informações do recibo do pedido.</t>
  </si>
  <si>
    <t>Teste manual realizado no ambiente SauceDemo: a seleção de “Gerar o PDF do pedido” realizou o download do documento contendo as informações do recibo do pedido</t>
  </si>
  <si>
    <t>Cenário relacionado à geração do documento do pedido após a conclusão da compra</t>
  </si>
  <si>
    <t>C0 — abordagem não estruturada</t>
  </si>
  <si>
    <t>História de usuário e prompt mínimo, sem informações estruturadas adicionais e sem processo de validação. Modelo, versão, temperatura e top-p são puxados da aba INSTRUCOES para garantir que as três condições usem os mesmos parâmetros.</t>
  </si>
  <si>
    <t>Execução ID</t>
  </si>
  <si>
    <t>Data</t>
  </si>
  <si>
    <t>Modelo</t>
  </si>
  <si>
    <t>Prompt utilizado</t>
  </si>
  <si>
    <t>Entrada fornecida</t>
  </si>
  <si>
    <t>Saída bruta da IA</t>
  </si>
  <si>
    <t>Arquivo da saída bruta (caminho ou link)</t>
  </si>
  <si>
    <t>Quantidade de cenários gerados</t>
  </si>
  <si>
    <t>H1</t>
  </si>
  <si>
    <t>E1</t>
  </si>
  <si>
    <t>GPT-5.6 Luna</t>
  </si>
  <si>
    <t>Você é um analista de testes de software com conhecimento em BDD e na linguagem Gherkin.
A partir da história de usuário apresentada abaixo, gere cenários de teste em Gherkin que representem os comportamentos que devem ser testados no sistema.
Considere as informações disponíveis na história de usuário e utilize seu conhecimento para identificar os principais cenários de teste, incluindo situações de sucesso e situações de erro ou exceção.
Utilize uma estrutura válida de Gherkin, com as palavras-chave Feature, Scenario, Given, When, Then, And e But quando necessário.
Não explique sua resposta. Apresente somente os cenários Gherkin.
História de usuário:
Como usuário do sistema,
quero informar meu nome de usuário e minha senha,
para acessar a área de produtos quando minhas credenciais forem válidas.</t>
  </si>
  <si>
    <t>Feature: Login de usuário
  Scenario: Acessar a área de produtos com credenciais válidas
    Given que o usuário está na tela de login
    And possui um nome de usuário e uma senha válidos
    When informar o nome de usuário válido
    And informar a senha válida
    And solicitar o acesso
    Then o sistema deve autenticar o usuário
    And permitir o acesso à área de produtos
  Scenario: Tentar acessar com nome de usuário inválido
    Given que o usuário está na tela de login
    And possui uma senha válida
    When informar um nome de usuário inválido
    And informar a senha válida
    And solicitar o acesso
    Then o sistema deve negar o acesso
    And exibir uma mensagem informando que as credenciais são inválidas
  Scenario: Tentar acessar com senha inválida
    Given que o usuário está na tela de login
    And possui um nome de usuário válido
    When informar o nome de usuário válido
    And informar uma senha inválida
    And solicitar o acesso
    Then o sistema deve negar o acesso
    And exibir uma mensagem informando que as credenciais são inválidas
  Scenario: Tentar acessar sem informar o nome de usuário
    Given que o usuário está na tela de login
    When deixar o campo de nome de usuário vazio
    And informar uma senha
    And solicitar o acesso
    Then o sistema deve impedir o acesso
    And informar que o nome de usuário deve ser preenchido
  Scenario: Tentar acessar sem informar a senha
    Given que o usuário está na tela de login
    When informar um nome de usuário
    And deixar o campo de senha vazio
    And solicitar o acesso
    Then o sistema deve impedir o acesso
    And informar que a senha deve ser preenchida
  Scenario: Tentar acessar sem informar nome de usuário e senha
    Given que o usuário está na tela de login
    When deixar o campo de nome de usuário vazio
    And deixar o campo de senha vazio
    And solicitar o acesso
    Then o sistema deve impedir o acesso
    And informar que os campos obrigatórios devem ser preenchidos</t>
  </si>
  <si>
    <t>E2</t>
  </si>
  <si>
    <t>Feature: Login de usuário
  Scenario: Acessar a área de produtos com credenciais válidas
    Given que o usuário está na tela de login
    And possui um nome de usuário válido
    And possui uma senha válida
    When informar o nome de usuário e a senha
    And clicar no botão de login
    Then o sistema deve autenticar o usuário
    And deve direcionar o usuário para a área de produtos
  Scenario: Tentar acessar a área de produtos com nome de usuário inválido
    Given que o usuário está na tela de login
    And possui uma senha válida
    When informar um nome de usuário inválido
    And informar a senha válida
    And clicar no botão de login
    Then o sistema não deve autenticar o usuário
    And deve informar que as credenciais são inválidas
    But o usuário não deve acessar a área de produtos
  Scenario: Tentar acessar a área de produtos com senha inválida
    Given que o usuário está na tela de login
    And possui um nome de usuário válido
    When informar o nome de usuário válido
    And informar uma senha inválida
    And clicar no botão de login
    Then o sistema não deve autenticar o usuário
    And deve informar que as credenciais são inválidas
    But o usuário não deve acessar a área de produtos
  Scenario: Tentar realizar login sem informar o nome de usuário
    Given que o usuário está na tela de login
    When informar uma senha válida
    And clicar no botão de login
    Then o sistema deve informar que o nome de usuário é obrigatório
    And não deve autenticar o usuário
    But o usuário não deve acessar a área de produtos
  Scenario: Tentar realizar login sem informar a senha
    Given que o usuário está na tela de login
    When informar um nome de usuário válido
    And clicar no botão de login
    Then o sistema deve informar que a senha é obrigatória
    And não deve autenticar o usuário
    But o usuário não deve acessar a área de produtos
  Scenario: Tentar realizar login sem informar nome de usuário e senha
    Given que o usuário está na tela de login
    When clicar no botão de login sem informar as credenciais
    Then o sistema deve informar que o nome de usuário é obrigatório
    And deve informar que a senha é obrigatória
    And não deve autenticar o usuário
    But o usuário não deve acessar a área de produtos</t>
  </si>
  <si>
    <t>E3</t>
  </si>
  <si>
    <t>C1 — abordagem com entrada estruturada</t>
  </si>
  <si>
    <t>História de usuário, critérios de aceitação e regras de negócio estruturadas, com prompt parametrizado e verificação estrutural.</t>
  </si>
  <si>
    <t>Plano</t>
  </si>
  <si>
    <t>Critérios de aceitação utilizados (IDs)</t>
  </si>
  <si>
    <t>Regras de negócio utilizadas (IDs)</t>
  </si>
  <si>
    <t>Versão do prompt parametrizado</t>
  </si>
  <si>
    <t>Feature: Login de usuário
  Scenario: Login com credenciais válidas
    Given que o usuário está na tela de login
    And possui um nome de usuário válido
    And possui uma senha válida
    When informar o nome de usuário e a senha
    And clicar no botão de login
    Then o sistema deve autenticar o usuário
    And deve permitir o acesso à área de produtos
  Scenario: Login com nome de usuário inválido
    Given que o usuário está na tela de login
    And possui um nome de usuário inválido
    And possui uma senha válida
    When informar o nome de usuário e a senha
    And clicar no botão de login
    Then o sistema deve impedir o acesso à área de produtos
    And deve exibir uma mensagem de erro
  Scenario: Login com senha inválida
    Given que o usuário está na tela de login
    And possui um nome de usuário válido
    And possui uma senha inválida
    When informar o nome de usuário e a senha
    And clicar no botão de login
    Then o sistema deve impedir o acesso à área de produtos
    And deve exibir uma mensagem de erro
  Scenario: Login com nome de usuário e senha inválidos
    Given que o usuário está na tela de login
    And possui um nome de usuário inválido
    And possui uma senha inválida
    When informar o nome de usuário e a senha
    And clicar no botão de login
    Then o sistema deve impedir o acesso à área de produtos
    And deve exibir uma mensagem de erro
  Scenario: Login sem informar o nome de usuário
    Given que o usuário está na tela de login
    And possui uma senha válida
    When não informar o nome de usuário
    And informar a senha
    And clicar no botão de login
    Then o sistema deve impedir o acesso à área de produtos
    And deve informar que o nome de usuário é obrigatório
  Scenario: Login sem informar a senha
    Given que o usuário está na tela de login
    And possui um nome de usuário válido
    When informar o nome de usuário
    And não informar a senha
    And clicar no botão de login
    Then o sistema deve impedir o acesso à área de produtos
    And deve informar que a senha é obrigatória
  Scenario: Login sem informar nome de usuário e senha
    Given que o usuário está na tela de login
    When não informar o nome de usuário
    And não informar a senha
    And clicar no botão de login
    Then o sistema deve impedir o acesso à área de produtos
    And deve informar que os campos são obrigatórios</t>
  </si>
  <si>
    <t>H2</t>
  </si>
  <si>
    <t>Free</t>
  </si>
  <si>
    <t>Prompt C1 — versão 1.0</t>
  </si>
  <si>
    <t>História H01 + CA01–CA07 + RN02–RN07</t>
  </si>
  <si>
    <t>6 cenários Gherkin / referência ao arquivo salvo</t>
  </si>
  <si>
    <t>CA01–CA07</t>
  </si>
  <si>
    <t>RN02–RN07</t>
  </si>
  <si>
    <t>C1-v1.0</t>
  </si>
  <si>
    <t>https://docs.google.com/document/d/1hycAhxcLjVdIZX4-2e860M2vrz7OH5cQjoRqGlqhqzk/edit?tab=t.0</t>
  </si>
  <si>
    <t>Você é um analista de testes de software com conhecimento em BDD e na linguagem Gherkin.
A partir da história de usuário apresentada abaixo, gere cenários de teste em Gherkin que representem os comportamentos que devem ser testados no sistema.
Considere as informações disponíveis na história de usuário e utilize seu conhecimento para identificar os principais cenários de teste, incluindo situações de sucesso e situações de erro ou exceção.
Utilize uma estrutura válida de Gherkin, com as palavras-chave Feature, Scenario, Given, When, Then, And e But quando necessário.
Não explique sua resposta. Apresente somente os cenários Gherkin.
História de usuário:
Como usuário autenticado, quero adicionar produtos ao carrinho e visualizar e gerenciar os itens selecionados, para revisar minha seleção antes de realizar o checkout.</t>
  </si>
  <si>
    <t xml:space="preserve">```gherkin
Feature: Gerenciamento de produtos no carrinho
  Scenario: Adicionar um produto ao carrinho
    Given que o usuário está autenticado
    And está na área de produtos
    And existe um produto disponível para compra
    When adicionar o produto ao carrinho
    Then o produto deve ser adicionado ao carrinho
    And o carrinho deve exibir o produto selecionado
  Scenario: Adicionar mais de um produto ao carrinho
    Given que o usuário está autenticado
    And está na área de produtos
    And existem produtos disponíveis para compra
    When adicionar diferentes produtos ao carrinho
    Then todos os produtos selecionados devem ser adicionados ao carrinho
    And o carrinho deve exibir todos os produtos selecionados
  Scenario: Visualizar os produtos adicionados ao carrinho
    Given que o usuário está autenticado
    And possui produtos adicionados ao carrinho
    When acessar o carrinho
    Then o sistema deve exibir os produtos adicionados
    And deve exibir as informações dos produtos selecionados
  Scenario: Remover um produto do carrinho
    Given que o usuário está autenticado
    And possui produtos adicionados ao carrinho
    When remover um produto do carrinho
    Then o produto deve ser removido do carrinho
    And o produto não deve mais ser exibido na lista de itens
  Scenario: Remover todos os produtos do carrinho
    Given que o usuário está autenticado
    And possui mais de um produto adicionado ao carrinho
    When remover todos os produtos
    Then o carrinho deve ficar vazio
    And os produtos removidos não devem ser exibidos no carrinho
  Scenario: Alterar a quantidade de um produto no carrinho
    Given que o usuário está autenticado
    And possui um produto adicionado ao carrinho
    When alterar a quantidade do produto
    Then o sistema deve atualizar a quantidade do produto
    And deve atualizar o valor correspondente no carrinho
  Scenario: Acessar o carrinho sem produtos adicionados
    Given que o usuário está autenticado
    And não possui produtos adicionados ao carrinho
    When acessar o carrinho
    Then o sistema deve exibir o carrinho vazio
    And não deve exibir produtos na lista de itens
  Scenario: Tentar adicionar um produto indisponível
    Given que o usuário está autenticado
    And existe um produto indisponível para compra
    When tentar adicionar o produto ao carrinho
    Then o sistema não deve adicionar o produto ao carrinho
    And deve informar que o produto está indisponível
  Scenario: Tentar acessar o carrinho sem estar autenticado
    Given que o usuário não está autenticado
    When tentar acessar o carrinho
    Then o sistema deve impedir o acesso ao carrinho
    And deve solicitar que o usuário realize a autenticação
  Scenario: Revisar os produtos antes do checkout
    Given que o usuário está autenticado
    And possui produtos adicionados ao carrinho
    When acessar o carrinho
    Then deve visualizar os produtos selecionados
    And deve poder gerenciar os itens do carrinho
    And deve poder revisar sua seleção antes de realizar o checkout
```
</t>
  </si>
  <si>
    <t>Saída bruta registrada sem alterações ou correções.</t>
  </si>
  <si>
    <t>6 cenários Gherkin</t>
  </si>
  <si>
    <r>
      <rPr>
        <rFont val="Arial"/>
        <color rgb="FF1155CC"/>
        <sz val="10.0"/>
        <u/>
      </rPr>
      <t>https://docs.google.com/document/d/1hycAhxcLjVdIZX4-2e860M2vrz7OH5cQjoRqGlqhqzk/edit?tab=t.0</t>
    </r>
    <r>
      <rPr>
        <rFont val="Arial"/>
        <sz val="10.0"/>
      </rPr>
      <t xml:space="preserve"> </t>
    </r>
  </si>
  <si>
    <r>
      <rPr>
        <rFont val="Arial"/>
        <color rgb="FF1155CC"/>
        <sz val="10.0"/>
        <u/>
      </rPr>
      <t>https://docs.google.com/document/d/1hycAhxcLjVdIZX4-2e860M2vrz7OH5cQjoRqGlqhqzk/edit?tab=t.0</t>
    </r>
    <r>
      <rPr>
        <rFont val="Arial"/>
        <sz val="10.0"/>
      </rPr>
      <t xml:space="preserve"> </t>
    </r>
  </si>
  <si>
    <t>Feature: Gerenciamento de produtos no carrinho
  Scenario: Adicionar um produto ao carrinho
    Given que o usuário está autenticado
    And que existe um produto disponível para compra
    When o usuário adiciona o produto ao carrinho
    Then o produto deve ser adicionado ao carrinho
    And o carrinho deve exibir o produto selecionado
  Scenario: Adicionar mais de um produto ao carrinho
    Given que o usuário está autenticado
    And que existem produtos disponíveis para compra
    When o usuário adiciona diferentes produtos ao carrinho
    Then todos os produtos selecionados devem ser adicionados ao carrinho
    And o carrinho deve exibir todos os produtos selecionados
  Scenario: Visualizar os itens adicionados ao carrinho
    Given que o usuário está autenticado
    And que existem produtos adicionados ao carrinho
    When o usuário acessa o carrinho
    Then os produtos adicionados devem ser exibidos
    And as informações dos produtos devem estar disponíveis para revisão
  Scenario: Alterar a quantidade de um produto no carrinho
    Given que o usuário está autenticado
    And que existe um produto no carrinho
    When o usuário altera a quantidade do produto
    Then a quantidade do produto deve ser atualizada
    And o valor correspondente deve ser atualizado
  Scenario: Remover um produto do carrinho
    Given que o usuário está autenticado
    And que existe um produto no carrinho
    When o usuário remove o produto do carrinho
    Then o produto não deve mais ser exibido no carrinho
  Scenario: Remover todos os produtos do carrinho
    Given que o usuário está autenticado
    And que existem produtos no carrinho
    When o usuário remove todos os produtos
    Then o carrinho deve ficar vazio
  Scenario: Acessar o carrinho sem produtos adicionados
    Given que o usuário está autenticado
    And que o carrinho está vazio
    When o usuário acessa o carrinho
    Then o sistema deve informar que não existem produtos no carrinho
  Scenario: Tentar adicionar um produto indisponível
    Given que o usuário está autenticado
    And que o produto não está disponível para compra
    When o usuário tenta adicionar o produto ao carrinho
    Then o produto não deve ser adicionado ao carrinho
    And o sistema deve informar que o produto não está disponível
  Scenario: Tentar acessar o carrinho sem estar autenticado
    Given que o usuário não está autenticado
    When o usuário tenta acessar o carrinho
    Then o sistema deve solicitar que o usuário realize a autenticação
  Scenario: Manter os produtos adicionados ao navegar pelo sistema
    Given que o usuário está autenticado
    And que existem produtos adicionados ao carrinho
    When o usuário navega para outra página do sistema
    Then os produtos devem permanecer no carrinho
    And a seleção do usuário deve ser mantida</t>
  </si>
  <si>
    <t>História H02 + CA08–CA14 + RN08–RN14</t>
  </si>
  <si>
    <t>7 cenários Gherkin</t>
  </si>
  <si>
    <t>CA08–CA14</t>
  </si>
  <si>
    <t>RN08–RN14</t>
  </si>
  <si>
    <t xml:space="preserve">https://docs.google.com/document/d/1hycAhxcLjVdIZX4-2e860M2vrz7OH5cQjoRqGlqhqzk/edit?tab=t.0  </t>
  </si>
  <si>
    <t>H3</t>
  </si>
  <si>
    <t>História H03 + CA15–CA24 + RN15–RN24</t>
  </si>
  <si>
    <t>10 cenários Gherkin</t>
  </si>
  <si>
    <t>CA15–CA24</t>
  </si>
  <si>
    <t>RN15–RN24</t>
  </si>
  <si>
    <t>Feature: Adicionar e gerenciar produtos no carrinho
  Scenario: Adicionar um produto ao carrinho
    Given que o usuário está autenticado
    And que existe um produto disponível
    When o usuário adiciona o produto ao carrinho
    Then o produto deve ser adicionado ao carrinho
    And o produto deve ser exibido na lista de itens
  Scenario: Adicionar múltiplos produtos ao carrinho
    Given que o usuário está autenticado
    And que existem produtos disponíveis
    When o usuário adiciona diferentes produtos ao carrinho
    Then todos os produtos selecionados devem ser adicionados ao carrinho
    And todos os produtos devem ser exibidos na lista de itens
  Scenario: Visualizar os produtos do carrinho
    Given que o usuário está autenticado
    And que existem produtos adicionados ao carrinho
    When o usuário acessa o carrinho
    Then os produtos adicionados devem ser exibidos
    And suas informações devem estar disponíveis para revisão
  Scenario: Alterar a quantidade de um produto
    Given que o usuário está autenticado
    And que existe um produto no carrinho
    When o usuário altera a quantidade do produto
    Then a quantidade do produto deve ser atualizada
    And o valor total do produto deve ser atualizado
  Scenario: Remover um produto do carrinho
    Given que o usuário está autenticado
    And que existe um produto no carrinho
    When o usuário remove o produto
    Then o produto não deve mais ser exibido no carrinho
    And o valor total do carrinho deve ser atualizado
  Scenario: Visualizar o carrinho vazio
    Given que o usuário está autenticado
    And que não existem produtos no carrinho
    When o usuário acessa o carrinho
    Then o sistema deve informar que o carrinho está vazio
  Scenario: Tentar adicionar um produto indisponível
    Given que o usuário está autenticado
    And que o produto não está disponível para compra
    When o usuário tenta adicionar o produto ao carrinho
    Then o produto não deve ser adicionado ao carrinho
    And o sistema deve informar que o produto não está disponível
  Scenario: Acessar o carrinho sem autenticação
    Given que o usuário não está autenticado
    When o usuário tenta acessar o carrinho
    Then o sistema deve solicitar a autenticação do usuário
    And o carrinho não deve ser exibido
  Scenario: Manter os produtos do carrinho durante a navegação
    Given que o usuário está autenticado
    And que existem produtos adicionados ao carrinho
    When o usuário navega para outra página
    And retorna ao carrinho
    Then os produtos adicionados anteriormente devem continuar no carrinho</t>
  </si>
  <si>
    <t>Você é um analista de testes de software com conhecimento em BDD e na linguagem Gherkin.
A partir da história de usuário apresentada abaixo, gere cenários de teste em Gherkin que representem os comportamentos que devem ser testados no sistema.
Considere as informações disponíveis na história de usuário e utilize seu conhecimento para identificar os principais cenários de teste, incluindo situações de sucesso e situações de erro ou exceção.
Utilize uma estrutura válida de Gherkin, com as palavras-chave Feature, Scenario, Given, When, Then, And e But quando necessário.
Não explique sua resposta. Apresente somente os cenários Gherkin.
História de usuário:
Como usuário autenticado, quero informar meus dados e finalizar a compra, para concluir o processo de aquisição dos produtos selecionados.</t>
  </si>
  <si>
    <t>Feature: Finalização da compra
  Scenario: Finalizar compra com dados válidos
    Given que o usuário está autenticado
    And que existem produtos no carrinho
    And que os dados de entrega estão preenchidos corretamente
    And que os dados de pagamento estão válidos
    When o usuário finaliza a compra
    Then o pedido deve ser criado com sucesso
    And o sistema deve exibir a confirmação da compra
  Scenario: Finalizar compra com dados de entrega obrigatórios preenchidos
    Given que o usuário está autenticado
    And que existem produtos no carrinho
    When o usuário informa todos os dados de entrega obrigatórios
    And prossegue para a finalização da compra
    Then os dados informados devem ser aceitos pelo sistema
  Scenario: Tentar finalizar compra com dados obrigatórios ausentes
    Given que o usuário está autenticado
    And que existem produtos no carrinho
    And que um ou mais dados obrigatórios não foram preenchidos
    When o usuário tenta finalizar a compra
    Then a compra não deve ser finalizada
    And o sistema deve informar os campos que precisam ser preenchidos
  Scenario: Finalizar compra com dados de pagamento inválidos
    Given que o usuário está autenticado
    And que existem produtos no carrinho
    And que os dados de pagamento são inválidos
    When o usuário tenta finalizar a compra
    Then a compra não deve ser finalizada
    And o sistema deve informar que os dados de pagamento são inválidos
  Scenario: Finalizar compra com carrinho vazio
    Given que o usuário está autenticado
    And que o carrinho está vazio
    When o usuário tenta finalizar a compra
    Then a compra não deve ser finalizada
    And o sistema deve informar que não existem produtos no carrinho
  Scenario: Cancelar a finalização da compra
    Given que o usuário está autenticado
    And que existem produtos no carrinho
    And que os dados da compra foram preenchidos
    When o usuário cancela a finalização da compra
    Then o pedido não deve ser criado
    And os produtos devem permanecer no carrinho
  Scenario: Tentar finalizar compra sem estar autenticado
    Given que o usuário não está autenticado
    And que existem produtos no carrinho
    When o usuário tenta finalizar a compra
    Then o sistema deve solicitar a autenticação
    And a compra não deve ser finalizada
  Scenario: Compra finalizada com sucesso
    Given que o usuário está autenticado
    And que existem produtos no carrinho
    And que todos os dados necessários foram informados corretamente
    When o usuário confirma a compra
    Then o pedido deve ser registrado
    And o sistema deve apresentar o número do pedido
    And o sistema deve informar que a compra foi concluída</t>
  </si>
  <si>
    <t>Feature: Finalização da compra
  Scenario: Finalizar compra com dados válidos
    Given que o usuário está autenticado
    And que existem produtos no carrinho
    And que os dados necessários para a compra estão preenchidos corretamente
    When o usuário confirma a compra
    Then o pedido deve ser criado com sucesso
    And o sistema deve exibir a confirmação da compra
  Scenario: Finalizar compra sem informar um dado obrigatório
    Given que o usuário está autenticado
    And que existem produtos no carrinho
    And que um dado obrigatório não foi informado
    When o usuário tenta finalizar a compra
    Then a compra não deve ser finalizada
    And o sistema deve informar o dado que precisa ser preenchido
  Scenario: Informar dados de entrega inválidos
    Given que o usuário está autenticado
    And que existem produtos no carrinho
    When o usuário informa dados de entrega inválidos
    And tenta finalizar a compra
    Then a compra não deve ser finalizada
    And o sistema deve informar que os dados de entrega são inválidos
  Scenario: Informar dados de pagamento inválidos
    Given que o usuário está autenticado
    And que existem produtos no carrinho
    And que os dados de pagamento são inválidos
    When o usuário tenta finalizar a compra
    Then a compra não deve ser finalizada
    And o sistema deve informar que os dados de pagamento são inválidos
  Scenario: Finalizar compra com carrinho vazio
    Given que o usuário está autenticado
    And que o carrinho está vazio
    When o usuário tenta finalizar a compra
    Then a compra não deve ser finalizada
    And o sistema deve informar que não existem produtos selecionados
  Scenario: Finalizar compra sem estar autenticado
    Given que o usuário não está autenticado
    And que existem produtos no carrinho
    When o usuário tenta finalizar a compra
    Then o sistema deve solicitar a autenticação
    And a compra não deve ser finalizada
  Scenario: Cancelar a finalização da compra
    Given que o usuário está autenticado
    And que existem produtos no carrinho
    And que os dados da compra foram preenchidos
    When o usuário cancela a finalização da compra
    Then o pedido não deve ser criado
    And os produtos devem permanecer no carrinho
  Scenario: Exibir confirmação após finalizar a compra
    Given que o usuário está autenticado
    And que existem produtos no carrinho
    And que todos os dados necessários foram preenchidos corretamente
    When o usuário finaliza a compra
    Then o sistema deve exibir uma mensagem de confirmação
    And o sistema deve apresentar as informações do pedido</t>
  </si>
  <si>
    <t>Feature: Finalização da compra
  Scenario: Finalizar compra com dados válidos
    Given que o usuário está autenticado
    And que existem produtos selecionados no carrinho
    And que os dados necessários para a compra estão preenchidos corretamente
    When o usuário confirma a compra
    Then o pedido deve ser finalizado com sucesso
    And o sistema deve exibir a confirmação da compra
  Scenario: Finalizar compra sem informar dados obrigatórios
    Given que o usuário está autenticado
    And que existem produtos selecionados no carrinho
    When o usuário tenta finalizar a compra sem preencher um ou mais dados obrigatórios
    Then a compra não deve ser finalizada
    And o sistema deve informar quais dados precisam ser preenchidos
  Scenario: Informar dados de entrega inválidos
    Given que o usuário está autenticado
    And que existem produtos selecionados no carrinho
    When o usuário informa dados de entrega inválidos
    And tenta finalizar a compra
    Then a compra não deve ser finalizada
    And o sistema deve informar que os dados de entrega são inválidos
  Scenario: Informar dados de pagamento inválidos
    Given que o usuário está autenticado
    And que existem produtos selecionados no carrinho
    When o usuário informa dados de pagamento inválidos
    And tenta finalizar a compra
    Then a compra não deve ser finalizada
    And o sistema deve informar que os dados de pagamento são inválidos
  Scenario: Finalizar compra com carrinho vazio
    Given que o usuário está autenticado
    And que o carrinho não possui produtos
    When o usuário tenta finalizar a compra
    Then a compra não deve ser finalizada
    And o sistema deve informar que o carrinho está vazio
  Scenario: Tentar finalizar compra sem estar autenticado
    Given que o usuário não está autenticado
    And que existem produtos selecionados no carrinho
    When o usuário tenta finalizar a compra
    Then o sistema deve solicitar a autenticação
    And a compra não deve ser finalizada
  Scenario: Cancelar a finalização da compra
    Given que o usuário está autenticado
    And que existem produtos selecionados no carrinho
    And que os dados necessários foram preenchidos corretamente
    When o usuário cancela a finalização da compra
    Then o pedido não deve ser criado
    And os produtos devem permanecer no carrinho
  Scenario: Exibir os dados do pedido após a finalização
    Given que o usuário está autenticado
    And que existem produtos selecionados no carrinho
    And que todos os dados necessários foram preenchidos corretamente
    When o usuário finaliza a compra
    Then o sistema deve exibir uma mensagem de confirmação
    And o sistema deve apresentar os dados do pedido</t>
  </si>
  <si>
    <t>C2 — processo estruturado completo</t>
  </si>
  <si>
    <t>Entradas de C1 acrescidas de tabela de decisão e contexto do sistema, com validação humana e refinamento. Uma linha por iteração: a iteração 1 registra a geração inicial; as seguintes registram os refinamentos.</t>
  </si>
  <si>
    <t>Tabela de decisão utilizada (IDs)</t>
  </si>
  <si>
    <t>Contexto do sistema fornecido</t>
  </si>
  <si>
    <t>Prompt C2 — versão 1.0</t>
  </si>
  <si>
    <t>História H01 + CA01–CA07 + RN02–RN07 + tabela de decisão H01 + contexto do sistema</t>
  </si>
  <si>
    <t>6 cenários Gherkin + seção de lacunas e premissas</t>
  </si>
  <si>
    <t>H01 — Tabela de decisão de autenticação</t>
  </si>
  <si>
    <t>O sistema é uma aplicação web de comércio eletrônico. A funcionalidade analisada corresponde à autenticação de usuários. O usuário acessa a tela de login e informa nome de usuário e senha. Quando as credenciais são válidas, o sistema permite o acesso à área de produtos. Quando as credenciais são inválidas ou estão incompletas, o acesso não deve ser permitido e o sistema deve apresentar a mensagem ou comportamento de erro correspondente. Usuários bloqueados também não devem obter acesso ao sistema.</t>
  </si>
  <si>
    <t>C2-v1.0</t>
  </si>
  <si>
    <r>
      <rPr>
        <rFont val="Arial"/>
        <color rgb="FF1155CC"/>
        <sz val="10.0"/>
        <u/>
      </rPr>
      <t>https://docs.google.com/document/d/1hycAhxcLjVdIZX4-2e860M2vrz7OH5cQjoRqGlqhqzk/edit?tab=t.0</t>
    </r>
    <r>
      <rPr>
        <rFont val="Arial"/>
        <sz val="10.0"/>
      </rPr>
      <t xml:space="preserve"> </t>
    </r>
  </si>
  <si>
    <t>História H01 + CA01–CA07 + RN02–RN07 + tabela de decisão H01 + contexto do sistema H01</t>
  </si>
  <si>
    <t>H01 — Contexto do sistema de autenticação</t>
  </si>
  <si>
    <r>
      <rPr>
        <rFont val="Arial"/>
        <color rgb="FF1155CC"/>
        <sz val="10.0"/>
        <u/>
      </rPr>
      <t>https://docs.google.com/document/d/1hycAhxcLjVdIZX4-2e860M2vrz7OH5cQjoRqGlqhqzk/edit?tab=t.0</t>
    </r>
    <r>
      <rPr>
        <rFont val="Arial"/>
        <sz val="10.0"/>
      </rPr>
      <t xml:space="preserve"> </t>
    </r>
  </si>
  <si>
    <r>
      <rPr>
        <rFont val="Arial"/>
        <color rgb="FF1155CC"/>
        <sz val="10.0"/>
        <u/>
      </rPr>
      <t>https://docs.google.com/document/d/1hycAhxcLjVdIZX4-2e860M2vrz7OH5cQjoRqGlqhqzk/edit?tab=t.0</t>
    </r>
    <r>
      <rPr>
        <rFont val="Arial"/>
        <sz val="10.0"/>
      </rPr>
      <t xml:space="preserve"> </t>
    </r>
  </si>
  <si>
    <t>História H02 + CA08–CA14 + RN08–RN14 + tabela de decisão H02 + contexto do sistema H02</t>
  </si>
  <si>
    <t>TD08–TD13</t>
  </si>
  <si>
    <t>H02 — Contexto do sistema de gerenciamento do carrinho</t>
  </si>
  <si>
    <r>
      <rPr>
        <rFont val="Arial"/>
        <color rgb="FF1155CC"/>
        <sz val="10.0"/>
        <u/>
      </rPr>
      <t>https://docs.google.com/document/d/1hycAhxcLjVdIZX4-2e860M2vrz7OH5cQjoRqGlqhqzk/edit?tab=t.0</t>
    </r>
    <r>
      <rPr>
        <rFont val="Arial"/>
        <sz val="10.0"/>
      </rPr>
      <t xml:space="preserve"> </t>
    </r>
  </si>
  <si>
    <t>RASTREABILIDADE — cenários gerados x gabarito</t>
  </si>
  <si>
    <t>Uma linha por cenário gerado, em cada condição e execução. É esta aba que alimenta as métricas de cobertura, cenários espúrios e densidade da aba RESUMO.</t>
  </si>
  <si>
    <r>
      <rPr>
        <rFont val="Arial"/>
        <color rgb="FF1155CC"/>
        <sz val="10.0"/>
        <u/>
      </rPr>
      <t>https://docs.google.com/document/d/1hycAhxcLjVdIZX4-2e860M2vrz7OH5cQjoRqGlqhqzk/edit?tab=t.0</t>
    </r>
    <r>
      <rPr>
        <rFont val="Arial"/>
        <sz val="10.0"/>
      </rPr>
      <t xml:space="preserve"> </t>
    </r>
  </si>
  <si>
    <t>Condição</t>
  </si>
  <si>
    <t>Cenário gerado ID</t>
  </si>
  <si>
    <t>Regra ID do gabarito</t>
  </si>
  <si>
    <t>Correspondência com regra?</t>
  </si>
  <si>
    <t>Cenário esperado correspondente</t>
  </si>
  <si>
    <t>Exceção coberta?</t>
  </si>
  <si>
    <t>Cenário espúrio?</t>
  </si>
  <si>
    <t>C0</t>
  </si>
  <si>
    <r>
      <rPr>
        <rFont val="Arial"/>
        <color rgb="FF1155CC"/>
        <sz val="10.0"/>
        <u/>
      </rPr>
      <t>https://docs.google.com/document/d/1hycAhxcLjVdIZX4-2e860M2vrz7OH5cQjoRqGlqhqzk/edit?tab=t.0</t>
    </r>
    <r>
      <rPr>
        <rFont val="Arial"/>
        <sz val="10.0"/>
      </rPr>
      <t xml:space="preserve"> </t>
    </r>
  </si>
  <si>
    <t>C0-H01-E1-01</t>
  </si>
  <si>
    <t>O cenário representa credenciais válidas, autentica o usuário e permite o acesso à área de produtos, cobrindo RN06 e RN07.</t>
  </si>
  <si>
    <t>C0-H01-E1-02</t>
  </si>
  <si>
    <t>O cenário representa usuário inválido com senha válida, nega o acesso e informa credenciais inválidas. Corresponde ao comportamento de usuário inexistente.</t>
  </si>
  <si>
    <t>História H03 + CA15–CA24 + RN15–RN24 + tabela de decisão H03 (TD14–TD21) + contexto do sistema H03</t>
  </si>
  <si>
    <t>8 cenários Gherkin / referência ao arquivo salvo</t>
  </si>
  <si>
    <t>C0-H01-E1-03</t>
  </si>
  <si>
    <t>TD14–TD21</t>
  </si>
  <si>
    <t>H03 — Contexto do sistema de checkout / finalização da compra</t>
  </si>
  <si>
    <t>O cenário representa nome de usuário válido com senha inválida, nega o acesso e informa credenciais inválidas.</t>
  </si>
  <si>
    <r>
      <rPr>
        <rFont val="Arial"/>
        <color rgb="FF1155CC"/>
        <sz val="10.0"/>
        <u/>
      </rPr>
      <t>https://docs.google.com/document/d/1hycAhxcLjVdIZX4-2e860M2vrz7OH5cQjoRqGlqhqzk/edit?tab=t.0</t>
    </r>
    <r>
      <rPr>
        <rFont val="Arial"/>
        <sz val="10.0"/>
      </rPr>
      <t xml:space="preserve"> </t>
    </r>
  </si>
  <si>
    <t>C0-H01-E1-04</t>
  </si>
  <si>
    <t>O cenário representa a ausência do nome de usuário, impede o acesso e informa que o campo deve ser preenchido.</t>
  </si>
  <si>
    <t>C0-H01-E1-05</t>
  </si>
  <si>
    <t>O cenário representa a ausência da senha, impede o acesso e informa que o campo deve ser preenchido.</t>
  </si>
  <si>
    <t>C0-H01-E1-06</t>
  </si>
  <si>
    <t>O cenário combina a ausência do nome de usuário e da senha. O gabarito possui cenários separados para cada condição e não estabelece um cenário específico para os dois campos ausentes simultaneamente. O cenário possui relação com RN02 e RN03, mas não atende integralmente ao resultado esperado individual de nenhuma delas.</t>
  </si>
  <si>
    <t>9 cenários Gherkin / referência ao arquivo salvo</t>
  </si>
  <si>
    <r>
      <rPr>
        <rFont val="Arial"/>
        <color rgb="FF1155CC"/>
        <sz val="10.0"/>
        <u/>
      </rPr>
      <t>https://docs.google.com/document/d/1hycAhxcLjVdIZX4-2e860M2vrz7OH5cQjoRqGlqhqzk/edit?tab=t.0</t>
    </r>
    <r>
      <rPr>
        <rFont val="Arial"/>
        <sz val="10.0"/>
      </rPr>
      <t xml:space="preserve"> </t>
    </r>
  </si>
  <si>
    <t>C0-H01-E2-01</t>
  </si>
  <si>
    <t>Credenciais válidas; autentica o usuário e direciona para a área de produtos.</t>
  </si>
  <si>
    <t>C0-H01-E2-02</t>
  </si>
  <si>
    <t>Usuário inválido; corresponde ao cenário de usuário inexistente e acesso negado.</t>
  </si>
  <si>
    <t>C0-H01-E2-03</t>
  </si>
  <si>
    <t>Senha inválida para usuário existente; acesso negado.</t>
  </si>
  <si>
    <t>C0-H01-E2-04</t>
  </si>
  <si>
    <t>Nome de usuário não informado; sistema informa que o campo é obrigatório.</t>
  </si>
  <si>
    <r>
      <rPr>
        <rFont val="Arial"/>
        <color rgb="FF1155CC"/>
        <sz val="10.0"/>
        <u/>
      </rPr>
      <t>https://docs.google.com/document/d/1hycAhxcLjVdIZX4-2e860M2vrz7OH5cQjoRqGlqhqzk/edit?tab=t.0</t>
    </r>
    <r>
      <rPr>
        <rFont val="Arial"/>
        <sz val="10.0"/>
      </rPr>
      <t xml:space="preserve"> </t>
    </r>
  </si>
  <si>
    <t>C0-H01-E2-05</t>
  </si>
  <si>
    <t>Senha não informada; sistema informa que o campo é obrigatório.</t>
  </si>
  <si>
    <t>C0-H01-E2-06</t>
  </si>
  <si>
    <t>RN02, RN03</t>
  </si>
  <si>
    <t>SC01, SC02</t>
  </si>
  <si>
    <t>Nome de usuário e senha não informados; o cenário verifica a obrigatoriedade dos dois campos.</t>
  </si>
  <si>
    <t>C0-H01-E3-01</t>
  </si>
  <si>
    <t>Credenciais válidas; autentica o usuário e permite o acesso à área de produtos.</t>
  </si>
  <si>
    <t>C0-H01-E3-02</t>
  </si>
  <si>
    <t>Nome de usuário inválido; corresponde ao cenário de usuário inexistente e acesso negado.</t>
  </si>
  <si>
    <t>C0-H01-E3-03</t>
  </si>
  <si>
    <t>Senha inválida para usuário existente; corresponde ao cenário de senha incorreta e acesso negado.</t>
  </si>
  <si>
    <t>C0-H01-E3-04</t>
  </si>
  <si>
    <t>Usuário e senha inválidos simultaneamente. Possui relação com RN04, mas não corresponde integralmente a SC03 ou SC04, que tratam as condições separadamente.</t>
  </si>
  <si>
    <t>C0-H01-E3-05</t>
  </si>
  <si>
    <t>Nome de usuário não informado; sistema informa que o nome de usuário é obrigatório.</t>
  </si>
  <si>
    <t>C0-H01-E3-06</t>
  </si>
  <si>
    <t>Senha não informada; sistema informa que a senha é obrigatória.</t>
  </si>
  <si>
    <t>C0-H01-E3-07</t>
  </si>
  <si>
    <t>Nome de usuário e senha não informados; o cenário informa que os campos são obrigatórios.</t>
  </si>
  <si>
    <t>C0-H02-E1-01</t>
  </si>
  <si>
    <t>Adiciona um produto ao carrinho e verifica sua presença.</t>
  </si>
  <si>
    <t>C0-H02-E1-02</t>
  </si>
  <si>
    <t>Adiciona diferentes produtos ao carrinho. A regra RN08 é atendida para a ação de adicionar produtos.</t>
  </si>
  <si>
    <t>C0-H02-E1-03</t>
  </si>
  <si>
    <t>Verifica a exibição dos produtos e suas informações no carrinho.</t>
  </si>
  <si>
    <t>C0-H02-E1-04</t>
  </si>
  <si>
    <t>Remove um produto e verifica que ele não permanece no carrinho.</t>
  </si>
  <si>
    <t>C0-H02-E1-05</t>
  </si>
  <si>
    <t>Remove todos os produtos e verifica que o carrinho fica vazio.</t>
  </si>
  <si>
    <t>C0-H02-E1-06</t>
  </si>
  <si>
    <t>-</t>
  </si>
  <si>
    <t>Trata da alteração manual da quantidade e do valor correspondente, comportamento não previsto no gabarito H02.</t>
  </si>
  <si>
    <t>C0-H02-E1-07</t>
  </si>
  <si>
    <t>Acesso ao carrinho vazio. O gabarito possui RN12 para carrinho vazio após remoção, mas não define uma regra específica para acessar o carrinho já vazio.</t>
  </si>
  <si>
    <t>C0-H02-E1-08</t>
  </si>
  <si>
    <t>Produto indisponível não está previsto nas regras de negócio do gabarito.</t>
  </si>
  <si>
    <t>C0-H02-E1-09</t>
  </si>
  <si>
    <t>Acesso ao carrinho sem autenticação não está previsto no gabarito.</t>
  </si>
  <si>
    <t>C0-H02-E1-10</t>
  </si>
  <si>
    <t>Permite revisar os produtos selecionados no carrinho; possui relação com a visualização das informações dos produtos.</t>
  </si>
  <si>
    <t>C0-H02-E2-01</t>
  </si>
  <si>
    <t>C0-H02-E2-02</t>
  </si>
  <si>
    <t>Adiciona diferentes produtos ao carrinho.</t>
  </si>
  <si>
    <t>C0-H02-E2-03</t>
  </si>
  <si>
    <t>Visualiza os produtos e suas informações no carrinho.</t>
  </si>
  <si>
    <t>C0-H02-E2-04</t>
  </si>
  <si>
    <t>Alteração da quantidade não está prevista no gabarito H02.</t>
  </si>
  <si>
    <t>C0-H02-E2-05</t>
  </si>
  <si>
    <t>Remove um produto do carrinho.</t>
  </si>
  <si>
    <t>C0-H02-E2-06</t>
  </si>
  <si>
    <t>C0-H02-E2-07</t>
  </si>
  <si>
    <t>Acesso ao carrinho vazio não corresponde diretamente à RN12, que trata da remoção de todos os produtos.</t>
  </si>
  <si>
    <t>C0-H02-E2-08</t>
  </si>
  <si>
    <t>Produto indisponível não está previsto no gabarito.</t>
  </si>
  <si>
    <t>C0-H02-E2-09</t>
  </si>
  <si>
    <t>C0-H02-E2-10</t>
  </si>
  <si>
    <t>Manutenção dos produtos durante navegação não está prevista nas regras do gabarito.</t>
  </si>
  <si>
    <t>C0-H02-E3-01</t>
  </si>
  <si>
    <t>C0-H02-E3-02</t>
  </si>
  <si>
    <t>Adiciona múltiplos produtos ao carrinho.</t>
  </si>
  <si>
    <t>C0-H02-E3-03</t>
  </si>
  <si>
    <t>C0-H02-E3-04</t>
  </si>
  <si>
    <t>Alteração da quantidade e do valor não estão previstos no gabarito.</t>
  </si>
  <si>
    <t>C0-H02-E3-05</t>
  </si>
  <si>
    <t>C0-H02-E3-06</t>
  </si>
  <si>
    <t>Verifica o carrinho vazio, porém não informa que isso ocorreu após a remoção de todos os produtos. Ainda assim, o comportamento central corresponde ao estado esperado de SC11.</t>
  </si>
  <si>
    <t>C0-H02-E3-07</t>
  </si>
  <si>
    <t>C0-H02-E3-08</t>
  </si>
  <si>
    <t>Acesso sem autenticação não está previsto no gabarito.</t>
  </si>
  <si>
    <t>C0-H02-E3-09</t>
  </si>
  <si>
    <t>Manutenção dos produtos durante a navegação não está prevista no gabarito.</t>
  </si>
  <si>
    <t>C0-H03-E1-01</t>
  </si>
  <si>
    <t>Finalização da compra com dados válidos e apresentação da confirmação.</t>
  </si>
  <si>
    <t>C0-H03-E1-02</t>
  </si>
  <si>
    <t>Trata do preenchimento dos dados de entrega, mas não especifica as regras de primeiro nome, sobrenome ou código postal nem o avanço para a visão geral definido no gabarito.</t>
  </si>
  <si>
    <t>C0-H03-E1-03</t>
  </si>
  <si>
    <t>Trata genericamente de dados obrigatórios ausentes, sem identificar RN15, RN16 ou RN17 individualmente.</t>
  </si>
  <si>
    <t>C0-H03-E1-04</t>
  </si>
  <si>
    <t>Dados de pagamento inválidos não estão previstos nas regras do gabarito H03.</t>
  </si>
  <si>
    <t>C0-H03-E1-05</t>
  </si>
  <si>
    <t>Carrinho vazio não está previsto nas regras do gabarito H03.</t>
  </si>
  <si>
    <t>C0-H03-E1-06</t>
  </si>
  <si>
    <t>Cancelamento da finalização e permanência dos produtos no carrinho.</t>
  </si>
  <si>
    <t>C0-H03-E1-07</t>
  </si>
  <si>
    <t>Acesso à finalização sem autenticação não está previsto no gabarito H03.</t>
  </si>
  <si>
    <t>C0-H03-E1-08</t>
  </si>
  <si>
    <t>Finalização da compra e apresentação da confirmação.</t>
  </si>
  <si>
    <t>C0-H03-E2-01</t>
  </si>
  <si>
    <t>C0-H03-E2-02</t>
  </si>
  <si>
    <t>Trata genericamente da ausência de um dado obrigatório, sem identificar primeiro nome, sobrenome ou código postal.</t>
  </si>
  <si>
    <t>C0-H03-E2-03</t>
  </si>
  <si>
    <t>Dados de entrega inválidos não estão previstos nas regras do gabarito H03.</t>
  </si>
  <si>
    <t>C0-H03-E2-04</t>
  </si>
  <si>
    <t>C0-H03-E2-05</t>
  </si>
  <si>
    <t>C0-H03-E2-06</t>
  </si>
  <si>
    <t>Tentativa de finalização sem autenticação não está prevista no gabarito H03.</t>
  </si>
  <si>
    <t>C0-H03-E2-07</t>
  </si>
  <si>
    <t>C0-H03-E2-08</t>
  </si>
  <si>
    <t>Finalização da compra e apresentação da confirmação/informações do pedido.</t>
  </si>
  <si>
    <t>INTERVENCOES — registro do esforço humano</t>
  </si>
  <si>
    <t>Uma linha por intervenção humana realizada sobre os cenários gerados. O tempo deve ser informado em minutos, apenas como número.</t>
  </si>
  <si>
    <t>C0-H03-E3-01</t>
  </si>
  <si>
    <t>C0-H03-E3-02</t>
  </si>
  <si>
    <t>Trata genericamente de dados obrigatórios não informados, sem identificar as regras RN15, RN16 e RN17 individualmente.</t>
  </si>
  <si>
    <t>C0-H03-E3-03</t>
  </si>
  <si>
    <t>Iteração</t>
  </si>
  <si>
    <t>Tipo de intervenção</t>
  </si>
  <si>
    <t>C0-H03-E3-04</t>
  </si>
  <si>
    <t>Descrição</t>
  </si>
  <si>
    <t>Correção realizada</t>
  </si>
  <si>
    <t>Tempo aproximado (min)</t>
  </si>
  <si>
    <t>C0-H03-E3-05</t>
  </si>
  <si>
    <t>Responsável</t>
  </si>
  <si>
    <t>Resultado</t>
  </si>
  <si>
    <t>C0-H03-E3-06</t>
  </si>
  <si>
    <t>C0-H03-E3-07</t>
  </si>
  <si>
    <t>C0-H03-E3-08</t>
  </si>
  <si>
    <t>Finalização da compra e apresentação dos dados/confirmação do pedido.</t>
  </si>
  <si>
    <t>Correção semântica</t>
  </si>
  <si>
    <t>O cenário original apresentava usuário e senha ausentes com resultado genérico, sem explicitar os resultados esperados das regras RN02 e RN03.</t>
  </si>
  <si>
    <r>
      <rPr>
        <rFont val="Arial"/>
        <sz val="10.0"/>
      </rPr>
      <t xml:space="preserve">Foram explicitados os resultados esperados de obrigatoriedade do usuário e da senha.
</t>
    </r>
    <r>
      <rPr>
        <rFont val="Arial"/>
        <color rgb="FF1155CC"/>
        <sz val="10.0"/>
        <u/>
      </rPr>
      <t>https://docs.google.com/document/d/1hycAhxcLjVdIZX4-2e860M2vrz7OH5cQjoRqGlqhqzk/edit?tab=t.0</t>
    </r>
  </si>
  <si>
    <t>C1</t>
  </si>
  <si>
    <t>C1-H01-E1-01</t>
  </si>
  <si>
    <t>Login sem informar Username; corresponde à regra de obrigatoriedade do Username.</t>
  </si>
  <si>
    <t>C1-H01-E1-02</t>
  </si>
  <si>
    <t>Login sem informar Password; corresponde à regra de obrigatoriedade da Password.</t>
  </si>
  <si>
    <t>C1-H01-E1-03</t>
  </si>
  <si>
    <t>Login com Username inexistente; corresponde ao cenário de credencial com usuário inexistente.</t>
  </si>
  <si>
    <t>C1-H01-E1-04</t>
  </si>
  <si>
    <t>Login com Password incorreta; corresponde ao cenário de credencial com senha incorreta.</t>
  </si>
  <si>
    <t>C1-H01-E1-05</t>
  </si>
  <si>
    <t>Pesquisador</t>
  </si>
  <si>
    <t>Corrigido</t>
  </si>
  <si>
    <t>Login com usuário bloqueado; corresponde à exceção de usuário bloqueado.</t>
  </si>
  <si>
    <t>C1-H01-E1-06</t>
  </si>
  <si>
    <t>RN06; RN07</t>
  </si>
  <si>
    <t>Login com credenciais válidas; contempla tanto a permissão de acesso quanto o direcionamento para a área de produtos.</t>
  </si>
  <si>
    <t>Remoção de cenário sem correspondência</t>
  </si>
  <si>
    <t>O cenário combina usuário inválido e senha inválida, condição que não possui correspondência completa com os cenários previstos no gabarito.</t>
  </si>
  <si>
    <t>Cenário retirado da seleção para automação por não possuir correspondência completa com o gabarito.</t>
  </si>
  <si>
    <t>Removido</t>
  </si>
  <si>
    <t>C1-H01-E2-01</t>
  </si>
  <si>
    <t>Remoção de cenário espúrio</t>
  </si>
  <si>
    <t>O cenário trata da alteração de quantidade ou valor do produto, comportamento que não possui regra correspondente no gabarito congelado.</t>
  </si>
  <si>
    <t>Cenário removido da seleção para automação por não possuir rastreabilidade com nenhuma regra do gabarito.</t>
  </si>
  <si>
    <t>C1-H01-E2-02</t>
  </si>
  <si>
    <t>C1-H01-E2-03</t>
  </si>
  <si>
    <t>C1-H01-E2-04</t>
  </si>
  <si>
    <t>C1-H01-E2-05</t>
  </si>
  <si>
    <t>C1-H01-E2-06</t>
  </si>
  <si>
    <t>C1-H01-E3-01</t>
  </si>
  <si>
    <t>C1-H01-E3-02</t>
  </si>
  <si>
    <t>C1-H01-E3-03</t>
  </si>
  <si>
    <t>C1-H01-E3-04</t>
  </si>
  <si>
    <t>C1-H01-E3-05</t>
  </si>
  <si>
    <t>C1-H01-E3-06</t>
  </si>
  <si>
    <t>C1-H02-E1-01</t>
  </si>
  <si>
    <t>Adiciona produto ao carrinho e atualiza o indicador de quantidade.</t>
  </si>
  <si>
    <t>C1-H02-E1-02</t>
  </si>
  <si>
    <t>Impede a adição duplicada do mesmo produto.</t>
  </si>
  <si>
    <t>C1-H02-E1-03</t>
  </si>
  <si>
    <t>Apresenta os produtos e suas informações de identificação, quantidade e preço.</t>
  </si>
  <si>
    <t>C1-H02-E1-04</t>
  </si>
  <si>
    <t>Remove produto do carrinho e atualiza o indicador de quantidade.</t>
  </si>
  <si>
    <t>C1-H02-E1-05</t>
  </si>
  <si>
    <t>Mantém o carrinho sem itens após a remoção de todos os produtos.</t>
  </si>
  <si>
    <t>C1-H02-E1-06</t>
  </si>
  <si>
    <t>Permite retornar à área de produtos utilizando a opção Continue Shopping.</t>
  </si>
  <si>
    <t>C1-H02-E1-07</t>
  </si>
  <si>
    <t>Permite avançar do carrinho para a etapa de preenchimento das informações do checkout.</t>
  </si>
  <si>
    <t>C1-H02-E2-01</t>
  </si>
  <si>
    <t>C1-H02-E2-02</t>
  </si>
  <si>
    <t>Impede a adição de uma segunda ocorrência do mesmo produto.</t>
  </si>
  <si>
    <t>C1-H02-E2-03</t>
  </si>
  <si>
    <t>Apresenta identificação, quantidade e preço dos produtos no carrinho.</t>
  </si>
  <si>
    <t>C1-H02-E2-04</t>
  </si>
  <si>
    <t>C1-H02-E2-05</t>
  </si>
  <si>
    <t>C1-H02-E2-06</t>
  </si>
  <si>
    <t>C1-H02-E2-07</t>
  </si>
  <si>
    <t>Permite acessar o processo de checkout a partir do carrinho.</t>
  </si>
  <si>
    <t>C1-H02-E3-01</t>
  </si>
  <si>
    <t>C1-H02-E3-02</t>
  </si>
  <si>
    <t>Impede a adição do mesmo produto mais de uma vez.</t>
  </si>
  <si>
    <t>C1-H02-E3-03</t>
  </si>
  <si>
    <t>C1-H02-E3-04</t>
  </si>
  <si>
    <t>C1-H02-E3-05</t>
  </si>
  <si>
    <t>Mantém o carrinho sem produtos após a remoção de todos os itens.</t>
  </si>
  <si>
    <t>C1-H02-E3-06</t>
  </si>
  <si>
    <t>C1-H02-E3-07</t>
  </si>
  <si>
    <t>Permite avançar para o processo de checkout.</t>
  </si>
  <si>
    <t>C1-H03-E1-01</t>
  </si>
  <si>
    <t>Impede o avanço quando o First Name não é informado e apresenta a mensagem de obrigatoriedade.</t>
  </si>
  <si>
    <t>C1-H03-E1-02</t>
  </si>
  <si>
    <t>Impede o avanço quando o Last Name não é informado e apresenta a mensagem de obrigatoriedade.</t>
  </si>
  <si>
    <t>C1-H03-E1-03</t>
  </si>
  <si>
    <t>Impede o avanço quando o Postal Code não é informado e apresenta a mensagem de obrigatoriedade.</t>
  </si>
  <si>
    <t>C1-H03-E1-04</t>
  </si>
  <si>
    <t>Permite avançar para o Checkout Overview após o preenchimento dos dados obrigatórios.</t>
  </si>
  <si>
    <t>C1-H03-E1-05</t>
  </si>
  <si>
    <t>Permite cancelar o processo e retornar à área de produtos.</t>
  </si>
  <si>
    <t>C1-H03-E1-06</t>
  </si>
  <si>
    <t>Apresenta o Checkout Overview antes da finalização da compra.</t>
  </si>
  <si>
    <t>C1-H03-E1-07</t>
  </si>
  <si>
    <t>Finaliza o processo de compra ao selecionar Finish.</t>
  </si>
  <si>
    <t>C1-H03-E1-08</t>
  </si>
  <si>
    <t>Apresenta a página Checkout: Complete! após a finalização da compra.</t>
  </si>
  <si>
    <t>C1-H03-E1-09</t>
  </si>
  <si>
    <t>Permite retornar à página de produtos após concluir a compra.</t>
  </si>
  <si>
    <t>C1-H03-E1-10</t>
  </si>
  <si>
    <t>Gera e disponibiliza o PDF contendo as informações do recibo do pedido.</t>
  </si>
  <si>
    <t>C1-H03-E2-01</t>
  </si>
  <si>
    <t>C1-H03-E2-02</t>
  </si>
  <si>
    <t>C1-H03-E2-03</t>
  </si>
  <si>
    <t>C1-H03-E2-04</t>
  </si>
  <si>
    <t>C1-H03-E2-05</t>
  </si>
  <si>
    <t>C1-H03-E2-06</t>
  </si>
  <si>
    <t>Apresenta o Checkout Overview antes da finalização da compra e informa que a compra ainda não foi finalizada.</t>
  </si>
  <si>
    <t>AUTOMACAO — implementação e execução</t>
  </si>
  <si>
    <t>C1-H03-E2-07</t>
  </si>
  <si>
    <t>Ambiente previsto: Cucumber, Playwright e SauceDemo. Falhas de conteúdo do cenário e falhas técnicas ou de ambiente devem ser registradas em colunas separadas e nunca somadas na mesma contagem.</t>
  </si>
  <si>
    <t>C1-H03-E2-08</t>
  </si>
  <si>
    <t>Cenário Gherkin</t>
  </si>
  <si>
    <t>Automação implementada ?</t>
  </si>
  <si>
    <t>Executado?</t>
  </si>
  <si>
    <t>C1-H03-E2-09</t>
  </si>
  <si>
    <t>Executado sem correção?</t>
  </si>
  <si>
    <t>Executado após correção?</t>
  </si>
  <si>
    <t>Falhou por problema de conteúdo?</t>
  </si>
  <si>
    <t>Falhou por problema técnico/ambiente?</t>
  </si>
  <si>
    <t>C1-H03-E2-10</t>
  </si>
  <si>
    <t>Gera e baixa o documento contendo as informações do recibo do pedido.</t>
  </si>
  <si>
    <t>C1-H03-E3-01</t>
  </si>
  <si>
    <t>CT01</t>
  </si>
  <si>
    <t>Tentar realizar login sem informar o Username</t>
  </si>
  <si>
    <t>C1-H03-E3-02</t>
  </si>
  <si>
    <t>C1-H03-E3-03</t>
  </si>
  <si>
    <t>PASSOU</t>
  </si>
  <si>
    <t>C1-H03-E3-04</t>
  </si>
  <si>
    <t>CT02</t>
  </si>
  <si>
    <t>Tentar realizar login sem informar a Password</t>
  </si>
  <si>
    <t>C1-H03-E3-05</t>
  </si>
  <si>
    <t>C1-H03-E3-06</t>
  </si>
  <si>
    <t>CT03</t>
  </si>
  <si>
    <t>Tentar realizar login com Username inexistente</t>
  </si>
  <si>
    <t>C1-H03-E3-07</t>
  </si>
  <si>
    <t>CT04</t>
  </si>
  <si>
    <t>Tentar realizar login com Password incorreta</t>
  </si>
  <si>
    <t>C1-H03-E3-08</t>
  </si>
  <si>
    <t>C1-H03-E3-09</t>
  </si>
  <si>
    <t>CT05</t>
  </si>
  <si>
    <t>Tentar realizar login com usuário bloqueado</t>
  </si>
  <si>
    <t>C1-H03-E3-10</t>
  </si>
  <si>
    <t>C2</t>
  </si>
  <si>
    <t>C2-H01-E1-01</t>
  </si>
  <si>
    <t>CT06</t>
  </si>
  <si>
    <t>Cenário contempla o Username não informado e o resultado esperado de obrigatoriedade do campo.</t>
  </si>
  <si>
    <t>Realizar login com credenciais válidas</t>
  </si>
  <si>
    <t>C2-H01-E1-02</t>
  </si>
  <si>
    <t>Cenário contempla a Password não informada e o resultado esperado de obrigatoriedade do campo.</t>
  </si>
  <si>
    <t>C2-H01-E1-03</t>
  </si>
  <si>
    <t>Cenário contempla Username inexistente, impedimento da autenticação e mensagem de credenciais inválidas.</t>
  </si>
  <si>
    <t>C2-H01-E1-04</t>
  </si>
  <si>
    <t>Cenário contempla Username válido com Password incorreta, usuário não bloqueado, impedimento da autenticação e mensagem de credenciais inválidas.</t>
  </si>
  <si>
    <t>C2-H01-E1-05</t>
  </si>
  <si>
    <t>Cenário contempla usuário bloqueado, impedimento da autenticação e mensagem de usuário bloqueado.</t>
  </si>
  <si>
    <t>C2-H01-E1-06</t>
  </si>
  <si>
    <t>Cenário contempla credenciais válidas e permite a autenticação.</t>
  </si>
  <si>
    <t>Adicionar produto ao carrinho</t>
  </si>
  <si>
    <t>O mesmo cenário contempla o direcionamento do usuário para a área de produtos após a autenticação válida.</t>
  </si>
  <si>
    <t>C2-H01-E2-01</t>
  </si>
  <si>
    <t>Cenário contempla o Username vazio e o resultado esperado de obrigatoriedade do campo.</t>
  </si>
  <si>
    <t>Impedir duplicação do mesmo produto no carrinho</t>
  </si>
  <si>
    <t>C2-H01-E2-02</t>
  </si>
  <si>
    <t>Cenário contempla a Password vazia e o resultado esperado de obrigatoriedade do campo.</t>
  </si>
  <si>
    <t>C2-H01-E2-03</t>
  </si>
  <si>
    <t>Reexecutado com verificação da alteração do botão de adição para remoção e da quantidade única do produto no carrinho. Sem correções.</t>
  </si>
  <si>
    <t>Visualizar produto, quantidade e preço no carrinho</t>
  </si>
  <si>
    <t>C2-H01-E2-04</t>
  </si>
  <si>
    <t>C2-H01-E2-05</t>
  </si>
  <si>
    <t>Remover produto do carrinho</t>
  </si>
  <si>
    <t>C2-H01-E2-06</t>
  </si>
  <si>
    <t>Remover todos os produtos do carrinho</t>
  </si>
  <si>
    <t>C2-H01-E3-01</t>
  </si>
  <si>
    <t>Continuar comprando a partir do carrinho</t>
  </si>
  <si>
    <t>C2-H01-E3-02</t>
  </si>
  <si>
    <t>CT07</t>
  </si>
  <si>
    <t>Acessar o checkout a partir do carrinho</t>
  </si>
  <si>
    <t>C2-H01-E3-03</t>
  </si>
  <si>
    <t>C2-H01-E3-04</t>
  </si>
  <si>
    <t>Cenário contempla Username válido com Password diferente de secret_sauce, usuário não bloqueado, impedimento da autenticação e mensagem de credenciais inválidas.</t>
  </si>
  <si>
    <t>C2-H01-E3-05</t>
  </si>
  <si>
    <t>Impedir avanço sem informar o First Name</t>
  </si>
  <si>
    <t>C2-H01-E3-06</t>
  </si>
  <si>
    <t>O sistema impediu o avanço e apresentou a mensagem de obrigatoriedade do First Name.</t>
  </si>
  <si>
    <t>Impedir avanço sem informar o Last Name</t>
  </si>
  <si>
    <t>O sistema impediu o avanço e apresentou a mensagem de obrigatoriedade do Last Name.</t>
  </si>
  <si>
    <t>C2-H02-E1-01</t>
  </si>
  <si>
    <t>Cenário contempla a adição de produto ao carrinho e a atualização do indicador de quantidade.</t>
  </si>
  <si>
    <t>Impedir avanço sem informar o Postal Code</t>
  </si>
  <si>
    <t>C2-H02-E1-02</t>
  </si>
  <si>
    <t>Cenário contempla a tentativa de adicionar novamente o mesmo produto e impede a duplicação.</t>
  </si>
  <si>
    <t>O sistema impediu o avanço e apresentou a mensagem de obrigatoriedade do Postal Code.</t>
  </si>
  <si>
    <t>C2-H02-E1-03</t>
  </si>
  <si>
    <t>Cenário contempla a apresentação dos produtos e das informações de identificação, quantidade e preço.</t>
  </si>
  <si>
    <t>Avançar para o Checkout Overview com os dados obrigatórios preenchidos</t>
  </si>
  <si>
    <t>C2-H02-E1-04</t>
  </si>
  <si>
    <t>Cenário contempla a remoção de um produto, a atualização do indicador e a permanência dos demais produtos.</t>
  </si>
  <si>
    <t>Com os dados obrigatórios preenchidos, o sistema permitiu o avanço para a etapa Checkout: Overview.</t>
  </si>
  <si>
    <t>C2-H02-E1-05</t>
  </si>
  <si>
    <t xml:space="preserve"> Cancelar o checkout e retornar para a página de produtos
  </t>
  </si>
  <si>
    <t>Cenário contempla a remoção de todos os produtos e a manutenção do carrinho vazio.</t>
  </si>
  <si>
    <t>C2-H02-E1-06</t>
  </si>
  <si>
    <t>FALHOU</t>
  </si>
  <si>
    <t>Ao clicar em Cancel no checkout, a aplicação retornou para cart.html (carrinho), enquanto o resultado esperado no gabarito é o retorno para inventory.html (produtos). Comportamento confirmado também por verificação manual.</t>
  </si>
  <si>
    <t>Cenário contempla a utilização de Continue Shopping e o direcionamento para a área de produtos.</t>
  </si>
  <si>
    <t>C2-H02-E1-07</t>
  </si>
  <si>
    <t>Apresentar o Checkout Overview antes da finalização da compra</t>
  </si>
  <si>
    <t>Cenário contempla o avanço para o checkout quando existe pelo menos um produto no carrinho.</t>
  </si>
  <si>
    <t>Após o preenchimento dos dados e avanço no checkout, o sistema apresentou a etapa Checkout: Overview antes da finalização da compra.</t>
  </si>
  <si>
    <t>Finalizar a compra</t>
  </si>
  <si>
    <t>C2-H02-E2-01</t>
  </si>
  <si>
    <t>A seleção da opção Finish finalizou o processo de compra e direcionou para a página Checkout: Complete!.</t>
  </si>
  <si>
    <t>C2-H02-E2-02</t>
  </si>
  <si>
    <t>CT08</t>
  </si>
  <si>
    <t>Apresentar a confirmação de conclusão da compra</t>
  </si>
  <si>
    <t>C2-H02-E2-03</t>
  </si>
  <si>
    <t>Após a finalização da compra, o sistema apresentou a página Checkout: Complete! e a confirmação da conclusão do pedido.</t>
  </si>
  <si>
    <t>C2-H02-E2-04</t>
  </si>
  <si>
    <t>CT09</t>
  </si>
  <si>
    <t>Retornar à página de produtos após concluir a compra</t>
  </si>
  <si>
    <t>C2-H02-E2-05</t>
  </si>
  <si>
    <t>Após finalizar a compra, a opção de retorno direcionou o usuário para a página de produtos (inventory.html).</t>
  </si>
  <si>
    <t>CT10</t>
  </si>
  <si>
    <t>Gerar e baixar o PDF do pedido</t>
  </si>
  <si>
    <t>C2-H02-E2-06</t>
  </si>
  <si>
    <t>APURACAO — aba auxiliar de cálculo</t>
  </si>
  <si>
    <t>Espelha linha a linha a aba GABARITO e marca, por condição, a cobertura de cada regra e de cada cenário de exceção. Aba calculada: não editar. Respeita os filtros de execução e de história definidos na aba RESUMO.</t>
  </si>
  <si>
    <t>O recurso de PDF foi localizado, o documento foi gerado e o download foi realizado com sucesso. Arquivo: swag-labs-order-2026-10-07_03-45-57.pdf</t>
  </si>
  <si>
    <t>C2-H02-E2-07</t>
  </si>
  <si>
    <t>Linha do gabarito</t>
  </si>
  <si>
    <t>Regra ID (1ª ocorrência)</t>
  </si>
  <si>
    <t>C2-H02-E3-01</t>
  </si>
  <si>
    <t>Regra coberta C0</t>
  </si>
  <si>
    <t>Regra coberta C1</t>
  </si>
  <si>
    <t>Regra coberta C2</t>
  </si>
  <si>
    <t>C2-H02-E3-02</t>
  </si>
  <si>
    <t>Exceção coberta C0</t>
  </si>
  <si>
    <t>Exceção coberta C1</t>
  </si>
  <si>
    <t>Tentar realizar o login sem informar Username</t>
  </si>
  <si>
    <t>Exceção coberta C2</t>
  </si>
  <si>
    <t>C2-H02-E3-03</t>
  </si>
  <si>
    <t>C2-H02-E3-04</t>
  </si>
  <si>
    <t>Executado sem correções.</t>
  </si>
  <si>
    <t>C2-H02-E3-05</t>
  </si>
  <si>
    <t>Tentar realizar login sem informar Password</t>
  </si>
  <si>
    <t>C2-H02-E3-06</t>
  </si>
  <si>
    <t>C2-H02-E3-07</t>
  </si>
  <si>
    <t>C2-H03-E1-01</t>
  </si>
  <si>
    <t>Cenário contempla First Name não informado, impede o avanço e informa a obrigatoriedade do campo.</t>
  </si>
  <si>
    <t>C2-H03-E1-02</t>
  </si>
  <si>
    <t>Cenário contempla Last Name não informado, impede o avanço e informa a obrigatoriedade do campo.</t>
  </si>
  <si>
    <t>Tentar realizar login com Password incorreta.</t>
  </si>
  <si>
    <t>C2-H03-E1-03</t>
  </si>
  <si>
    <t>Cenário contempla Postal Code não informado, impede o avanço e informa a obrigatoriedade do campo.</t>
  </si>
  <si>
    <t>C2-H03-E1-04</t>
  </si>
  <si>
    <t>Tentar realizar login com usuário bloqueado.</t>
  </si>
  <si>
    <t>Cenário contempla o preenchimento dos dados obrigatórios e o avanço para Checkout: Overview.</t>
  </si>
  <si>
    <t>O mesmo cenário contempla a apresentação do Checkout: Overview antes da finalização.</t>
  </si>
  <si>
    <t>C2-H03-E1-05</t>
  </si>
  <si>
    <t>Cenário contempla o cancelamento do checkout e o retorno à área de produtos.</t>
  </si>
  <si>
    <t>C2-H03-E1-06</t>
  </si>
  <si>
    <t>Cenário contempla a finalização da compra a partir do Checkout: Overview.</t>
  </si>
  <si>
    <t>O mesmo cenário contempla a apresentação da confirmação após a conclusão da compra.</t>
  </si>
  <si>
    <t>C2-H03-E1-07</t>
  </si>
  <si>
    <t>Cenário contempla o retorno à área de produtos após a conclusão da compra.</t>
  </si>
  <si>
    <t>C2-H03-E1-08</t>
  </si>
  <si>
    <t>Cenário contempla a geração e o download do PDF do pedido após a conclusão da compra.</t>
  </si>
  <si>
    <t>Não adicionar o mesmo produto duas vezes</t>
  </si>
  <si>
    <t>C2-H03-E2-01</t>
  </si>
  <si>
    <t>Visualizar produto no carrinho</t>
  </si>
  <si>
    <t>C2-H03-E2-02</t>
  </si>
  <si>
    <t>C2-H03-E2-03</t>
  </si>
  <si>
    <t>C2-H03-E2-04</t>
  </si>
  <si>
    <t>C2-H03-E2-05</t>
  </si>
  <si>
    <t>C2-H03-E2-06</t>
  </si>
  <si>
    <t>Continuar comprando</t>
  </si>
  <si>
    <t>C2-H03-E2-07</t>
  </si>
  <si>
    <t>Acessar checkout</t>
  </si>
  <si>
    <t>C2-H03-E2-08</t>
  </si>
  <si>
    <t>C2-H03-E3-01</t>
  </si>
  <si>
    <t>Apesar de também deixar Last Name e Postal Code não informados, o cenário contempla a condição de First Name não informado e o resultado esperado da RN15.</t>
  </si>
  <si>
    <t>C2-H03-E3-02</t>
  </si>
  <si>
    <t>Apesar de também deixar Postal Code não informado, o cenário contempla a condição de Last Name não informado e o resultado esperado da RN16.</t>
  </si>
  <si>
    <t>C2-H03-E3-03</t>
  </si>
  <si>
    <t>First Name obrigatório</t>
  </si>
  <si>
    <t>C2-H03-E3-04</t>
  </si>
  <si>
    <t>O sistema informou corretamente que o First Name é obrigatório.</t>
  </si>
  <si>
    <t>Last Name obrigatório</t>
  </si>
  <si>
    <t>O sistema informou corretamente que o Last Name é obrigatório.</t>
  </si>
  <si>
    <t>C2-H03-E3-05</t>
  </si>
  <si>
    <t>Postal Code obrigatório</t>
  </si>
  <si>
    <t>O sistema informou corretamente que o Postal Code é obrigatório.</t>
  </si>
  <si>
    <t>C2-H03-E3-06</t>
  </si>
  <si>
    <t>Avançar para Checkout Overview</t>
  </si>
  <si>
    <t>O sistema avançou corretamente para o Checkout Overview.</t>
  </si>
  <si>
    <t>O mesmo cenário contempla a apresentação da página Checkout: Complete! após a finalização.</t>
  </si>
  <si>
    <t>C2-H03-E3-07</t>
  </si>
  <si>
    <t>Cancelar preenchimento do checkout</t>
  </si>
  <si>
    <t>Ao clicar em Cancel, o sistema retornou para cart.html, enquanto o comportamento esperado pelo gabarito é retornar para inventory.html.</t>
  </si>
  <si>
    <t>C2-H03-E3-08</t>
  </si>
  <si>
    <t>Apresentar Checkout Overview antes da finalização</t>
  </si>
  <si>
    <t>Cenário contempla a geração ou disponibilização do PDF contendo as informações do recibo.</t>
  </si>
  <si>
    <t>C2-H03-E3-09</t>
  </si>
  <si>
    <t>O Checkout Overview foi apresentado e a compra ainda não estava finalizada.</t>
  </si>
  <si>
    <t>Cenário consolida a ausência de um ou mais campos, mas não identifica especificamente qual campo deve gerar cada resultado esperado da RN15.</t>
  </si>
  <si>
    <t>Cenário consolida a ausência de um ou mais campos, mas não identifica especificamente qual campo deve gerar cada resultado esperado da RN16.</t>
  </si>
  <si>
    <t>Cenário consolida a ausência de um ou mais campos, mas não identifica especificamente qual campo deve gerar cada resultado esperado da RN17.</t>
  </si>
  <si>
    <t>A compra foi finalizada corretamente e o sistema direcionou para a tela de conclusão.</t>
  </si>
  <si>
    <t>Apresentar confirmação da compra</t>
  </si>
  <si>
    <t>O cenário trata do bloqueio quando há campos não informados, portanto não contempla o comportamento positivo da RN18 de avançar para Checkout: Overview.</t>
  </si>
  <si>
    <t>A mensagem de confirmação da conclusão da compra foi apresentada corretamente.</t>
  </si>
  <si>
    <t>Retornar à página de produtos após concluir</t>
  </si>
  <si>
    <t>O sistema retornou corretamente para a página de produtos após a conclusão da compra.</t>
  </si>
  <si>
    <t>O botão Generate PDF order foi acionado e o download do arquivo swag-labs-order-2026-10-07_22-39-59.pdf foi confirmado.</t>
  </si>
  <si>
    <t>Impedir login quando o Username não for informado</t>
  </si>
  <si>
    <t>Executado com sucesso, sem correções.</t>
  </si>
  <si>
    <t>Impedir login quando a Password não for informada</t>
  </si>
  <si>
    <t>Impedir login com Username inexistente</t>
  </si>
  <si>
    <t>Impedir login com Password incorreta</t>
  </si>
  <si>
    <t>Impedir login de usuário bloqueado</t>
  </si>
  <si>
    <t>Permitir login com credenciais válidas e direcionar para a área de produtos</t>
  </si>
  <si>
    <t>Impedir a adição duplicada do mesmo produto</t>
  </si>
  <si>
    <t>Exibir produto, quantidade e preço no carrinho</t>
  </si>
  <si>
    <t>Remover produto mantendo os demais no carrinho</t>
  </si>
  <si>
    <t>Remover todos os produtos e deixar o carrinho vazio</t>
  </si>
  <si>
    <t>Continuar comprando e retornar à página de produtos</t>
  </si>
  <si>
    <t>Validação da obrigatoriedade do First Name realizada com sucesso.</t>
  </si>
  <si>
    <t>Validação da obrigatoriedade do Last Name realizada com sucesso.</t>
  </si>
  <si>
    <t>Validação da obrigatoriedade do Postal Code realizada com sucesso.</t>
  </si>
  <si>
    <t>Dados obrigatórios preenchidos e acesso ao Checkout Overview confirmado.</t>
  </si>
  <si>
    <t>Cancelar o preenchimento das informações do checkout</t>
  </si>
  <si>
    <t>O cenário executou, porém o sistema retornou para cart.html, enquanto o gabarito esperava inventory.html.</t>
  </si>
  <si>
    <t>Checkout Overview apresentado antes da finalização da compra.</t>
  </si>
  <si>
    <t>Compra finalizada com sucesso.</t>
  </si>
  <si>
    <t>Página de confirmação apresentada após a finalização da compra.</t>
  </si>
  <si>
    <t>Retorno à página de produtos confirmado.</t>
  </si>
  <si>
    <t>Download do arquivo PDF confirmado com sucesso.</t>
  </si>
  <si>
    <t>RESUMO — comparação entre C0, C1 e C2</t>
  </si>
  <si>
    <t>Todas as células verdes são calculadas a partir das demais abas. As células amarelas exigem preenchimento manual. Nenhum valor foi pré-preenchido.</t>
  </si>
  <si>
    <t>Execução considerada</t>
  </si>
  <si>
    <t>Todas</t>
  </si>
  <si>
    <t>Os filtros acima recalculam toda a aba. Com 'Todas', uma regra é contada como coberta se apareceu em qualquer execução da condição.</t>
  </si>
  <si>
    <t>História considerada</t>
  </si>
  <si>
    <t>1. BASE DO GABARITO</t>
  </si>
  <si>
    <t>Métrica</t>
  </si>
  <si>
    <t>Total de regras de negócio no gabarito</t>
  </si>
  <si>
    <t>Contagem de Regra ID distintos registrados no GABARITO.</t>
  </si>
  <si>
    <t>Total de cenários de exceção no gabarito</t>
  </si>
  <si>
    <t>Linhas do GABARITO com Exceção? = Sim.</t>
  </si>
  <si>
    <t>Total de cenários esperados no gabarito</t>
  </si>
  <si>
    <t>2. MÉTRICAS PRINCIPAIS</t>
  </si>
  <si>
    <t>Regras de negócio cobertas</t>
  </si>
  <si>
    <t>Cobertura de regras de negócio</t>
  </si>
  <si>
    <t>Impedir avanço sem informar First Name</t>
  </si>
  <si>
    <t>Impedir avanço sem informar Last Name</t>
  </si>
  <si>
    <t>Regras cobertas / total de regras do gabarito.</t>
  </si>
  <si>
    <t>Cenários de exceção cobertos</t>
  </si>
  <si>
    <t>Impedir avanço sem informar Postal Code</t>
  </si>
  <si>
    <t>Cobertura de cenários de exceção</t>
  </si>
  <si>
    <t>Finalizar compra e apresentar confirmação</t>
  </si>
  <si>
    <t>Exceções cobertas / total de exceções do gabarito.</t>
  </si>
  <si>
    <t>Cenários gerados (registrados na rastreabilidade)</t>
  </si>
  <si>
    <t>Retornar à página de produtos após conclusão</t>
  </si>
  <si>
    <t>Gerar e baixar PDF do pedido</t>
  </si>
  <si>
    <t>Cenários espúrios</t>
  </si>
  <si>
    <t>Taxa de cenários espúrios</t>
  </si>
  <si>
    <t>Cenários sem correspondência com o gabarito / total gerado.</t>
  </si>
  <si>
    <t>Densidade de cenários</t>
  </si>
  <si>
    <t>Cenários gerados / total de regras do gabarito.</t>
  </si>
  <si>
    <t>Conferência: cenários declarados nas abas C0/C1/C2</t>
  </si>
  <si>
    <t>Deve coincidir com a linha de cenários gerados. Divergência indica lançamento incompleto na rastreabilidade.</t>
  </si>
  <si>
    <t>3. ESFORÇO HUMANO</t>
  </si>
  <si>
    <t>Cenários aceitos sem alteração</t>
  </si>
  <si>
    <t>Cenários editados</t>
  </si>
  <si>
    <t>Cenários rejeitados ou removidos</t>
  </si>
  <si>
    <t>Intervenções do tipo Remoção de cenário espúrio.</t>
  </si>
  <si>
    <t>Cenários adicionados manualmente</t>
  </si>
  <si>
    <t>Intervenções do tipo Complementação de cobertura.</t>
  </si>
  <si>
    <t>Iterações de prompt</t>
  </si>
  <si>
    <t>Linhas da aba C2 com Prompt reformulado? = Sim. C0 e C1 não preveem reformulação.</t>
  </si>
  <si>
    <t>Total de intervenções registradas</t>
  </si>
  <si>
    <t>Tempo de correção (min)</t>
  </si>
  <si>
    <t>Soma dos tempos da aba INTERVENCOES, excluídas as correções técnicas de automação.</t>
  </si>
  <si>
    <t>Tempo de automação (min)</t>
  </si>
  <si>
    <t>Tempo de revisão (min)</t>
  </si>
  <si>
    <t>Preenchimento manual. Cronometrado por história nas etapas de validação e refinamento; não decorre do registro de intervenções.</t>
  </si>
  <si>
    <t>4. AUTOMAÇÃO E EXECUTABILIDADE</t>
  </si>
  <si>
    <t>Cenários submetidos à automação</t>
  </si>
  <si>
    <t>Executados com sucesso sem correção</t>
  </si>
  <si>
    <t>Executados com sucesso após correção</t>
  </si>
  <si>
    <t>Não executáveis</t>
  </si>
  <si>
    <t>Falhas por problema de conteúdo do cenário</t>
  </si>
  <si>
    <t>Falhas por problema técnico ou de ambiente</t>
  </si>
  <si>
    <t>Contabilizadas à parte. Não somar com as falhas de conteúdo.</t>
  </si>
  <si>
    <t>Correções técnicas realizadas</t>
  </si>
  <si>
    <t>Taxa de execução sem correção</t>
  </si>
  <si>
    <t>Taxa de execução após correção</t>
  </si>
  <si>
    <t>5. MÉTRICAS SECUNDÁRIAS</t>
  </si>
  <si>
    <t>Métricas de apoio. O foco do estudo é a cobertura de regras, a cobertura de exceções, o esforço humano e a executabilidade.</t>
  </si>
  <si>
    <t>Cenários com ordem Dado-Quando-Então correta</t>
  </si>
  <si>
    <t>Apuração manual sobre a saída bruta de cada condição.</t>
  </si>
  <si>
    <t>Validade estrutural</t>
  </si>
  <si>
    <t>Só é calculada depois de preenchida a linha acima.</t>
  </si>
  <si>
    <t>Cenários com ao menos um passo de cada tipo obrigatório</t>
  </si>
  <si>
    <t>Completude dos passos</t>
  </si>
  <si>
    <t>Estabilidade entre execuções</t>
  </si>
  <si>
    <t xml:space="preserve">   Cenários gerados em E1</t>
  </si>
  <si>
    <t xml:space="preserve">   Cenários gerados em E2</t>
  </si>
  <si>
    <t xml:space="preserve">   Cenários gerados em E3</t>
  </si>
  <si>
    <t xml:space="preserve">   Amplitude entre execuções</t>
  </si>
  <si>
    <t>Diferença entre a maior e a menor quantidade de cenários entre as três execuções. Independe do filtro de execução.</t>
  </si>
  <si>
    <t>Nenhum resultado experimental foi pré-preenchido. Todos os valores acima são calculados a partir dos dados que forem lançados nas demais abas.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</si>
</sst>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0.0%"/>
    <numFmt numFmtId="166" formatCode="0.0"/>
  </numFmts>
  <fonts count="15">
    <font>
      <sz val="11.0"/>
      <color theme="1"/>
      <name val="Calibri"/>
      <scheme val="minor"/>
    </font>
    <font>
      <b/>
      <sz val="13.0"/>
      <color rgb="FF1F3864"/>
      <name val="Arial"/>
    </font>
    <font>
      <i/>
      <sz val="10.0"/>
      <color rgb="FF595959"/>
      <name val="Arial"/>
    </font>
    <font>
      <sz val="10.0"/>
      <color theme="1"/>
      <name val="Arial"/>
    </font>
    <font>
      <b/>
      <sz val="11.0"/>
      <color rgb="FFFFFFFF"/>
      <name val="Arial"/>
    </font>
    <font>
      <sz val="11.0"/>
      <color theme="1"/>
      <name val="Calibri"/>
    </font>
    <font>
      <b/>
      <sz val="10.0"/>
      <color theme="1"/>
      <name val="Arial"/>
    </font>
    <font>
      <color theme="1"/>
      <name val="Calibri"/>
      <scheme val="minor"/>
    </font>
    <font>
      <b/>
      <sz val="10.0"/>
      <color rgb="FFFFFFFF"/>
      <name val="Arial"/>
    </font>
    <font>
      <b/>
      <color theme="1"/>
      <name val="Calibri"/>
      <scheme val="minor"/>
    </font>
    <font>
      <b/>
      <sz val="10.0"/>
      <color rgb="FFC00000"/>
      <name val="Arial"/>
    </font>
    <font>
      <i/>
      <sz val="10.0"/>
      <color rgb="FF7F7F7F"/>
      <name val="Arial"/>
    </font>
    <font>
      <b/>
      <color rgb="FFFFFFFF"/>
      <name val="Arial"/>
    </font>
    <font>
      <u/>
      <sz val="10.0"/>
      <color rgb="FF0000FF"/>
      <name val="Arial"/>
    </font>
    <font>
      <u/>
      <sz val="10.0"/>
      <color rgb="FF0000FF"/>
      <name val="Arial"/>
    </font>
  </fonts>
  <fills count="10">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FFFFFF"/>
        <bgColor rgb="FFFFFFFF"/>
      </patternFill>
    </fill>
    <fill>
      <patternFill patternType="solid">
        <fgColor rgb="FFFFFF00"/>
        <bgColor rgb="FFFFFF00"/>
      </patternFill>
    </fill>
    <fill>
      <patternFill patternType="solid">
        <fgColor rgb="FF073763"/>
        <bgColor rgb="FF073763"/>
      </patternFill>
    </fill>
    <fill>
      <patternFill patternType="solid">
        <fgColor rgb="FF4A86E8"/>
        <bgColor rgb="FF4A86E8"/>
      </patternFill>
    </fill>
    <fill>
      <patternFill patternType="solid">
        <fgColor rgb="FFD9D9D9"/>
        <bgColor rgb="FFD9D9D9"/>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shrinkToFit="0" vertical="bottom" wrapText="0"/>
    </xf>
    <xf borderId="1" fillId="2" fontId="5" numFmtId="0" xfId="0" applyAlignment="1" applyBorder="1" applyFill="1" applyFont="1">
      <alignment shrinkToFit="0" vertical="bottom" wrapText="0"/>
    </xf>
    <xf borderId="0" fillId="0" fontId="6" numFmtId="0" xfId="0" applyAlignment="1" applyFont="1">
      <alignment shrinkToFit="0" vertical="bottom" wrapText="0"/>
    </xf>
    <xf borderId="2" fillId="3" fontId="3" numFmtId="0" xfId="0" applyAlignment="1" applyBorder="1" applyFill="1" applyFont="1">
      <alignment shrinkToFit="0" vertical="bottom" wrapText="0"/>
    </xf>
    <xf borderId="0" fillId="0" fontId="1" numFmtId="0" xfId="0" applyAlignment="1" applyFont="1">
      <alignment shrinkToFit="0" vertical="center" wrapText="0"/>
    </xf>
    <xf borderId="0" fillId="0" fontId="3" numFmtId="0" xfId="0" applyAlignment="1" applyFont="1">
      <alignment shrinkToFit="0" vertical="top" wrapText="1"/>
    </xf>
    <xf borderId="0" fillId="0" fontId="7" numFmtId="0" xfId="0" applyAlignment="1" applyFont="1">
      <alignment vertical="center"/>
    </xf>
    <xf borderId="2" fillId="4" fontId="5" numFmtId="0" xfId="0" applyAlignment="1" applyBorder="1" applyFill="1" applyFont="1">
      <alignment shrinkToFit="0" vertical="bottom" wrapText="0"/>
    </xf>
    <xf borderId="2" fillId="2" fontId="8" numFmtId="0" xfId="0" applyAlignment="1" applyBorder="1" applyFill="1" applyFont="1">
      <alignment horizontal="center" shrinkToFit="0" vertical="center" wrapText="1"/>
    </xf>
    <xf borderId="0" fillId="0" fontId="2" numFmtId="0" xfId="0" applyAlignment="1" applyFont="1">
      <alignment shrinkToFit="0" vertical="center" wrapText="0"/>
    </xf>
    <xf borderId="2" fillId="0" fontId="3" numFmtId="0" xfId="0" applyAlignment="1" applyBorder="1" applyFont="1">
      <alignment readingOrder="0" shrinkToFit="0" vertical="top" wrapText="1"/>
    </xf>
    <xf borderId="2" fillId="3" fontId="3" numFmtId="0" xfId="0" applyAlignment="1" applyBorder="1" applyFill="1" applyFont="1">
      <alignment readingOrder="0" shrinkToFit="0" vertical="bottom" wrapText="0"/>
    </xf>
    <xf borderId="2" fillId="0" fontId="3" numFmtId="0" xfId="0" applyAlignment="1" applyBorder="1" applyFont="1">
      <alignment shrinkToFit="0" vertical="top" wrapText="1"/>
    </xf>
    <xf borderId="0" fillId="0" fontId="1" numFmtId="0" xfId="0" applyAlignment="1" applyFont="1">
      <alignment readingOrder="0" shrinkToFit="0" vertical="bottom" wrapText="0"/>
    </xf>
    <xf borderId="0" fillId="0" fontId="6" numFmtId="0" xfId="0" applyAlignment="1" applyFont="1">
      <alignment readingOrder="0" shrinkToFit="0" vertical="bottom" wrapText="0"/>
    </xf>
    <xf borderId="2" fillId="3" fontId="3" numFmtId="49" xfId="0" applyAlignment="1" applyBorder="1" applyFill="1" applyFont="1" applyNumberFormat="1">
      <alignment readingOrder="0" shrinkToFit="0" vertical="bottom" wrapText="0"/>
    </xf>
    <xf borderId="0" fillId="5" fontId="4" numFmtId="0" xfId="0" applyAlignment="1" applyFill="1" applyFont="1">
      <alignment shrinkToFit="0" vertical="bottom" wrapText="0"/>
    </xf>
    <xf borderId="0" fillId="5" fontId="5" numFmtId="0" xfId="0" applyAlignment="1" applyFill="1" applyFont="1">
      <alignment shrinkToFit="0" vertical="bottom" wrapText="0"/>
    </xf>
    <xf borderId="0" fillId="5" fontId="7" numFmtId="0" xfId="0" applyFill="1" applyFont="1"/>
    <xf borderId="2" fillId="0" fontId="6" numFmtId="0" xfId="0" applyAlignment="1" applyBorder="1" applyFont="1">
      <alignment horizontal="center" readingOrder="0" shrinkToFit="0" vertical="center" wrapText="1"/>
    </xf>
    <xf borderId="2" fillId="0" fontId="3" numFmtId="0" xfId="0" applyAlignment="1" applyBorder="1" applyFont="1">
      <alignment readingOrder="0" shrinkToFit="0" vertical="center" wrapText="1"/>
    </xf>
    <xf borderId="0" fillId="0" fontId="9" numFmtId="0" xfId="0" applyAlignment="1" applyFont="1">
      <alignment horizontal="center" readingOrder="0" vertical="center"/>
    </xf>
    <xf borderId="2" fillId="0" fontId="6" numFmtId="0" xfId="0" applyAlignment="1" applyBorder="1" applyFont="1">
      <alignment readingOrder="0" shrinkToFit="0" vertical="center" wrapText="1"/>
    </xf>
    <xf borderId="2" fillId="0" fontId="3" numFmtId="164" xfId="0" applyAlignment="1" applyBorder="1" applyFont="1" applyNumberFormat="1">
      <alignment readingOrder="0" shrinkToFit="0" vertical="center" wrapText="1"/>
    </xf>
    <xf borderId="0" fillId="0" fontId="6" numFmtId="0" xfId="0" applyAlignment="1" applyFont="1">
      <alignment horizontal="center" readingOrder="0" vertical="center"/>
    </xf>
    <xf borderId="0" fillId="0" fontId="10" numFmtId="0" xfId="0" applyAlignment="1" applyFont="1">
      <alignment shrinkToFit="0" vertical="bottom" wrapText="0"/>
    </xf>
    <xf borderId="2" fillId="0" fontId="3" numFmtId="164" xfId="0" applyAlignment="1" applyBorder="1" applyFont="1" applyNumberFormat="1">
      <alignment horizontal="center" readingOrder="0" shrinkToFit="0" vertical="center" wrapText="1"/>
    </xf>
    <xf borderId="0" fillId="0" fontId="11" numFmtId="0" xfId="0" applyAlignment="1" applyFont="1">
      <alignment shrinkToFit="0" vertical="bottom" wrapText="0"/>
    </xf>
    <xf borderId="0" fillId="0" fontId="11" numFmtId="0" xfId="0" applyAlignment="1" applyFont="1">
      <alignment shrinkToFit="0" vertical="top" wrapText="1"/>
    </xf>
    <xf borderId="2" fillId="6" fontId="3" numFmtId="0" xfId="0" applyAlignment="1" applyBorder="1" applyFill="1" applyFont="1">
      <alignment readingOrder="0" shrinkToFit="0" vertical="bottom" wrapText="1"/>
    </xf>
    <xf borderId="2" fillId="6" fontId="3" numFmtId="0" xfId="0" applyAlignment="1" applyBorder="1" applyFill="1" applyFont="1">
      <alignment shrinkToFit="0" vertical="top" wrapText="1"/>
    </xf>
    <xf borderId="0" fillId="7" fontId="12" numFmtId="0" xfId="0" applyAlignment="1" applyFill="1" applyFont="1">
      <alignment readingOrder="0"/>
    </xf>
    <xf borderId="0" fillId="7" fontId="7" numFmtId="0" xfId="0" applyFill="1" applyFont="1"/>
    <xf borderId="0" fillId="0" fontId="11" numFmtId="0" xfId="0" applyAlignment="1" applyFont="1">
      <alignment readingOrder="0" shrinkToFit="0" vertical="top" wrapText="1"/>
    </xf>
    <xf borderId="2" fillId="0" fontId="3" numFmtId="0" xfId="0" applyAlignment="1" applyBorder="1" applyFont="1">
      <alignment readingOrder="0" shrinkToFit="0" vertical="bottom" wrapText="1"/>
    </xf>
    <xf borderId="0" fillId="6" fontId="7" numFmtId="0" xfId="0" applyFill="1" applyFont="1"/>
    <xf borderId="2" fillId="8" fontId="6" numFmtId="0" xfId="0" applyAlignment="1" applyBorder="1" applyFill="1" applyFont="1">
      <alignment horizontal="center" readingOrder="0" shrinkToFit="0" vertical="center" wrapText="1"/>
    </xf>
    <xf borderId="2" fillId="8" fontId="3" numFmtId="0" xfId="0" applyAlignment="1" applyBorder="1" applyFill="1" applyFont="1">
      <alignment readingOrder="0" shrinkToFit="0" vertical="top" wrapText="1"/>
    </xf>
    <xf borderId="2" fillId="8" fontId="6" numFmtId="0" xfId="0" applyAlignment="1" applyBorder="1" applyFill="1" applyFont="1">
      <alignment readingOrder="0" shrinkToFit="0" vertical="center" wrapText="1"/>
    </xf>
    <xf borderId="2" fillId="8" fontId="3" numFmtId="0" xfId="0" applyAlignment="1" applyBorder="1" applyFill="1" applyFont="1">
      <alignment shrinkToFit="0" vertical="top" wrapText="1"/>
    </xf>
    <xf borderId="2" fillId="8" fontId="3" numFmtId="164" xfId="0" applyAlignment="1" applyBorder="1" applyFill="1" applyFont="1" applyNumberFormat="1">
      <alignment horizontal="center" readingOrder="0" shrinkToFit="0" vertical="center" wrapText="1"/>
    </xf>
    <xf borderId="2" fillId="8" fontId="3" numFmtId="0" xfId="0" applyAlignment="1" applyBorder="1" applyFill="1" applyFont="1">
      <alignment readingOrder="0" shrinkToFit="0" vertical="center" wrapText="1"/>
    </xf>
    <xf borderId="2" fillId="4" fontId="3" numFmtId="0" xfId="0" applyAlignment="1" applyBorder="1" applyFill="1" applyFont="1">
      <alignment readingOrder="0" shrinkToFit="0" vertical="top" wrapText="1"/>
    </xf>
    <xf borderId="2" fillId="4" fontId="3" numFmtId="0" xfId="0" applyAlignment="1" applyBorder="1" applyFill="1" applyFont="1">
      <alignment shrinkToFit="0" vertical="top" wrapText="1"/>
    </xf>
    <xf borderId="2" fillId="0" fontId="3" numFmtId="0" xfId="0" applyAlignment="1" applyBorder="1" applyFont="1">
      <alignment horizontal="left" readingOrder="0" shrinkToFit="0" vertical="top" wrapText="1"/>
    </xf>
    <xf borderId="2" fillId="5" fontId="3" numFmtId="0" xfId="0" applyAlignment="1" applyBorder="1" applyFill="1" applyFont="1">
      <alignment shrinkToFit="0" vertical="top" wrapText="1"/>
    </xf>
    <xf borderId="2" fillId="5" fontId="3" numFmtId="0" xfId="0" applyAlignment="1" applyBorder="1" applyFill="1" applyFont="1">
      <alignment readingOrder="0" shrinkToFit="0" vertical="top" wrapText="1"/>
    </xf>
    <xf borderId="2" fillId="2" fontId="8" numFmtId="0" xfId="0" applyAlignment="1" applyBorder="1" applyFill="1" applyFont="1">
      <alignment horizontal="center" readingOrder="0" shrinkToFit="0" vertical="center" wrapText="1"/>
    </xf>
    <xf borderId="2" fillId="2" fontId="8" numFmtId="0" xfId="0" applyAlignment="1" applyBorder="1" applyFill="1" applyFont="1">
      <alignment horizontal="left" shrinkToFit="0" vertical="center" wrapText="1"/>
    </xf>
    <xf borderId="2" fillId="0" fontId="3" numFmtId="164" xfId="0" applyAlignment="1" applyBorder="1" applyFont="1" applyNumberFormat="1">
      <alignment readingOrder="0" shrinkToFit="0" vertical="top" wrapText="1"/>
    </xf>
    <xf borderId="2" fillId="0" fontId="13" numFmtId="0" xfId="0" applyAlignment="1" applyBorder="1" applyFont="1">
      <alignment readingOrder="0" shrinkToFit="0" vertical="top" wrapText="1"/>
    </xf>
    <xf borderId="2" fillId="0" fontId="14" numFmtId="0" xfId="0" applyAlignment="1" applyBorder="1" applyFont="1">
      <alignment readingOrder="0" shrinkToFit="0" vertical="top" wrapText="1"/>
    </xf>
    <xf borderId="2" fillId="6" fontId="3" numFmtId="0" xfId="0" applyAlignment="1" applyBorder="1" applyFill="1" applyFont="1">
      <alignment horizontal="left" shrinkToFit="0" vertical="top" wrapText="1"/>
    </xf>
    <xf borderId="0" fillId="0" fontId="7" numFmtId="0" xfId="0" applyAlignment="1" applyFont="1">
      <alignment readingOrder="0"/>
    </xf>
    <xf borderId="2" fillId="6" fontId="3" numFmtId="164" xfId="0" applyAlignment="1" applyBorder="1" applyFill="1" applyFont="1" applyNumberFormat="1">
      <alignment readingOrder="0" shrinkToFit="0" vertical="top" wrapText="1"/>
    </xf>
    <xf borderId="2" fillId="6" fontId="3" numFmtId="0" xfId="0" applyAlignment="1" applyBorder="1" applyFill="1" applyFont="1">
      <alignment readingOrder="0" shrinkToFit="0" vertical="top" wrapText="1"/>
    </xf>
    <xf borderId="0" fillId="0" fontId="2" numFmtId="0" xfId="0" applyAlignment="1" applyFont="1">
      <alignment shrinkToFit="0" vertical="top" wrapText="1"/>
    </xf>
    <xf borderId="2" fillId="9" fontId="6" numFmtId="0" xfId="0" applyAlignment="1" applyBorder="1" applyFill="1" applyFont="1">
      <alignment horizontal="center" shrinkToFit="0" vertical="center" wrapText="1"/>
    </xf>
    <xf borderId="2" fillId="0" fontId="3" numFmtId="0" xfId="0" applyAlignment="1" applyBorder="1" applyFont="1">
      <alignment shrinkToFit="0" vertical="bottom" wrapText="0"/>
    </xf>
    <xf borderId="2" fillId="4" fontId="3" numFmtId="1" xfId="0" applyAlignment="1" applyBorder="1" applyFill="1" applyFont="1" applyNumberFormat="1">
      <alignment horizontal="center" shrinkToFit="0" vertical="center" wrapText="1"/>
    </xf>
    <xf borderId="2" fillId="4" fontId="3" numFmtId="165" xfId="0" applyAlignment="1" applyBorder="1" applyFill="1" applyFont="1" applyNumberFormat="1">
      <alignment horizontal="center" shrinkToFit="0" vertical="center" wrapText="1"/>
    </xf>
    <xf borderId="2" fillId="4" fontId="3" numFmtId="2" xfId="0" applyAlignment="1" applyBorder="1" applyFill="1" applyFont="1" applyNumberFormat="1">
      <alignment horizontal="center" shrinkToFit="0" vertical="center" wrapText="1"/>
    </xf>
    <xf borderId="2" fillId="4" fontId="3" numFmtId="1" xfId="0" applyAlignment="1" applyBorder="1" applyFill="1" applyFont="1" applyNumberFormat="1">
      <alignment horizontal="center" readingOrder="0" shrinkToFit="0" vertical="center" wrapText="1"/>
    </xf>
    <xf borderId="2" fillId="4" fontId="3" numFmtId="166" xfId="0" applyAlignment="1" applyBorder="1" applyFill="1" applyFont="1" applyNumberFormat="1">
      <alignment horizontal="center" shrinkToFit="0" vertical="center" wrapText="1"/>
    </xf>
    <xf borderId="2" fillId="3" fontId="3" numFmtId="166" xfId="0" applyAlignment="1" applyBorder="1" applyFill="1" applyFont="1" applyNumberFormat="1">
      <alignment horizontal="center" shrinkToFit="0" vertical="center" wrapText="1"/>
    </xf>
    <xf borderId="2" fillId="3" fontId="3" numFmtId="1" xfId="0" applyAlignment="1" applyBorder="1" applyFill="1" applyFont="1" applyNumberFormat="1">
      <alignment horizontal="center" shrinkToFit="0" vertical="center" wrapText="1"/>
    </xf>
  </cellXfs>
  <cellStyles count="1">
    <cellStyle xfId="0" name="Normal" builtinId="0"/>
  </cellStyles>
  <dxfs count="1">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hycAhxcLjVdIZX4-2e860M2vrz7OH5cQjoRqGlqhqzk/edit?tab=t.0" TargetMode="External"/><Relationship Id="rId2" Type="http://schemas.openxmlformats.org/officeDocument/2006/relationships/hyperlink" Target="https://docs.google.com/document/d/1hycAhxcLjVdIZX4-2e860M2vrz7OH5cQjoRqGlqhqzk/edit?tab=t.0" TargetMode="External"/><Relationship Id="rId3" Type="http://schemas.openxmlformats.org/officeDocument/2006/relationships/hyperlink" Target="https://docs.google.com/document/d/1hycAhxcLjVdIZX4-2e860M2vrz7OH5cQjoRqGlqhqzk/edit?tab=t.0" TargetMode="External"/><Relationship Id="rId4" Type="http://schemas.openxmlformats.org/officeDocument/2006/relationships/hyperlink" Target="https://docs.google.com/document/d/1hycAhxcLjVdIZX4-2e860M2vrz7OH5cQjoRqGlqhqzk/edit?tab=t.0" TargetMode="External"/><Relationship Id="rId10" Type="http://schemas.openxmlformats.org/officeDocument/2006/relationships/drawing" Target="../drawings/drawing6.xml"/><Relationship Id="rId9" Type="http://schemas.openxmlformats.org/officeDocument/2006/relationships/hyperlink" Target="https://docs.google.com/document/d/1hycAhxcLjVdIZX4-2e860M2vrz7OH5cQjoRqGlqhqzk/edit?tab=t.0" TargetMode="External"/><Relationship Id="rId5" Type="http://schemas.openxmlformats.org/officeDocument/2006/relationships/hyperlink" Target="https://docs.google.com/document/d/1hycAhxcLjVdIZX4-2e860M2vrz7OH5cQjoRqGlqhqzk/edit?tab=t.0" TargetMode="External"/><Relationship Id="rId6" Type="http://schemas.openxmlformats.org/officeDocument/2006/relationships/hyperlink" Target="https://docs.google.com/document/d/1hycAhxcLjVdIZX4-2e860M2vrz7OH5cQjoRqGlqhqzk/edit?tab=t.0" TargetMode="External"/><Relationship Id="rId7" Type="http://schemas.openxmlformats.org/officeDocument/2006/relationships/hyperlink" Target="https://docs.google.com/document/d/1hycAhxcLjVdIZX4-2e860M2vrz7OH5cQjoRqGlqhqzk/edit?tab=t.0" TargetMode="External"/><Relationship Id="rId8" Type="http://schemas.openxmlformats.org/officeDocument/2006/relationships/hyperlink" Target="https://docs.google.com/document/d/1hycAhxcLjVdIZX4-2e860M2vrz7OH5cQjoRqGlqhqzk/edit?tab=t.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hycAhxcLjVdIZX4-2e860M2vrz7OH5cQjoRqGlqhqzk/edit?tab=t.0" TargetMode="External"/><Relationship Id="rId2" Type="http://schemas.openxmlformats.org/officeDocument/2006/relationships/hyperlink" Target="https://docs.google.com/document/d/1hycAhxcLjVdIZX4-2e860M2vrz7OH5cQjoRqGlqhqzk/edit?tab=t.0" TargetMode="External"/><Relationship Id="rId3" Type="http://schemas.openxmlformats.org/officeDocument/2006/relationships/hyperlink" Target="https://docs.google.com/document/d/1hycAhxcLjVdIZX4-2e860M2vrz7OH5cQjoRqGlqhqzk/edit?tab=t.0" TargetMode="External"/><Relationship Id="rId4" Type="http://schemas.openxmlformats.org/officeDocument/2006/relationships/hyperlink" Target="https://docs.google.com/document/d/1hycAhxcLjVdIZX4-2e860M2vrz7OH5cQjoRqGlqhqzk/edit?tab=t.0" TargetMode="External"/><Relationship Id="rId10" Type="http://schemas.openxmlformats.org/officeDocument/2006/relationships/drawing" Target="../drawings/drawing7.xml"/><Relationship Id="rId9" Type="http://schemas.openxmlformats.org/officeDocument/2006/relationships/hyperlink" Target="https://docs.google.com/document/d/1hycAhxcLjVdIZX4-2e860M2vrz7OH5cQjoRqGlqhqzk/edit?tab=t.0" TargetMode="External"/><Relationship Id="rId5" Type="http://schemas.openxmlformats.org/officeDocument/2006/relationships/hyperlink" Target="https://docs.google.com/document/d/1hycAhxcLjVdIZX4-2e860M2vrz7OH5cQjoRqGlqhqzk/edit?tab=t.0" TargetMode="External"/><Relationship Id="rId6" Type="http://schemas.openxmlformats.org/officeDocument/2006/relationships/hyperlink" Target="https://docs.google.com/document/d/1hycAhxcLjVdIZX4-2e860M2vrz7OH5cQjoRqGlqhqzk/edit?tab=t.0" TargetMode="External"/><Relationship Id="rId7" Type="http://schemas.openxmlformats.org/officeDocument/2006/relationships/hyperlink" Target="https://docs.google.com/document/d/1hycAhxcLjVdIZX4-2e860M2vrz7OH5cQjoRqGlqhqzk/edit?tab=t.0" TargetMode="External"/><Relationship Id="rId8" Type="http://schemas.openxmlformats.org/officeDocument/2006/relationships/hyperlink" Target="https://docs.google.com/document/d/1hycAhxcLjVdIZX4-2e860M2vrz7OH5cQjoRqGlqhqzk/edit?tab=t.0"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hycAhxcLjVdIZX4-2e860M2vrz7OH5cQjoRqGlqhqzk/edit?tab=t.0"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8.0"/>
    <col customWidth="1" min="2" max="2" width="46.0"/>
    <col customWidth="1" min="3" max="3" width="62.0"/>
    <col customWidth="1" min="4" max="26" width="8.71"/>
  </cols>
  <sheetData>
    <row r="1">
      <c r="A1" s="1" t="s">
        <v>0</v>
      </c>
    </row>
    <row r="2">
      <c r="A2" s="2" t="s">
        <v>1</v>
      </c>
    </row>
    <row r="3">
      <c r="A3" s="2" t="s">
        <v>2</v>
      </c>
    </row>
    <row r="4">
      <c r="A4" s="3"/>
    </row>
    <row r="5">
      <c r="A5" s="4" t="s">
        <v>3</v>
      </c>
      <c r="B5" s="5"/>
      <c r="C5" s="5"/>
    </row>
    <row r="6">
      <c r="A6" s="6" t="s">
        <v>6</v>
      </c>
      <c r="B6" s="7"/>
      <c r="C6" s="9" t="s">
        <v>8</v>
      </c>
    </row>
    <row r="7">
      <c r="A7" s="6" t="s">
        <v>10</v>
      </c>
      <c r="B7" s="11"/>
      <c r="C7" s="9" t="s">
        <v>11</v>
      </c>
    </row>
    <row r="8">
      <c r="A8" s="6" t="s">
        <v>12</v>
      </c>
      <c r="C8" s="9" t="s">
        <v>13</v>
      </c>
    </row>
    <row r="9">
      <c r="A9" s="3"/>
    </row>
    <row r="10">
      <c r="A10" s="4" t="s">
        <v>20</v>
      </c>
      <c r="B10" s="5"/>
      <c r="C10" s="5"/>
    </row>
    <row r="11">
      <c r="A11" s="3"/>
      <c r="C11" s="9" t="s">
        <v>24</v>
      </c>
    </row>
    <row r="12">
      <c r="A12" s="6" t="s">
        <v>26</v>
      </c>
      <c r="B12" s="15" t="s">
        <v>27</v>
      </c>
      <c r="C12" s="9"/>
    </row>
    <row r="13">
      <c r="A13" s="6" t="s">
        <v>30</v>
      </c>
      <c r="B13" s="15" t="s">
        <v>31</v>
      </c>
      <c r="C13" s="9"/>
    </row>
    <row r="14">
      <c r="A14" s="6" t="s">
        <v>33</v>
      </c>
      <c r="B14" s="15" t="s">
        <v>34</v>
      </c>
      <c r="C14" s="9"/>
    </row>
    <row r="15">
      <c r="A15" s="6" t="s">
        <v>36</v>
      </c>
      <c r="B15" s="15" t="s">
        <v>37</v>
      </c>
      <c r="C15" s="9"/>
    </row>
    <row r="16">
      <c r="A16" s="18" t="s">
        <v>38</v>
      </c>
      <c r="B16" s="15" t="s">
        <v>39</v>
      </c>
      <c r="C16" s="9"/>
    </row>
    <row r="17">
      <c r="A17" s="18" t="s">
        <v>41</v>
      </c>
      <c r="B17" s="15" t="s">
        <v>42</v>
      </c>
      <c r="C17" s="9"/>
    </row>
    <row r="18">
      <c r="A18" s="18" t="s">
        <v>45</v>
      </c>
      <c r="B18" s="19" t="s">
        <v>48</v>
      </c>
    </row>
    <row r="19">
      <c r="A19" s="20"/>
      <c r="B19" s="21"/>
      <c r="C19" s="21"/>
      <c r="D19" s="22"/>
      <c r="E19" s="22"/>
      <c r="F19" s="22"/>
      <c r="G19" s="22"/>
      <c r="H19" s="22"/>
      <c r="I19" s="22"/>
      <c r="J19" s="22"/>
      <c r="K19" s="22"/>
      <c r="L19" s="22"/>
      <c r="M19" s="22"/>
      <c r="N19" s="22"/>
      <c r="O19" s="22"/>
      <c r="P19" s="22"/>
      <c r="Q19" s="22"/>
      <c r="R19" s="22"/>
      <c r="S19" s="22"/>
      <c r="T19" s="22"/>
      <c r="U19" s="22"/>
      <c r="V19" s="22"/>
      <c r="W19" s="22"/>
      <c r="X19" s="22"/>
      <c r="Y19" s="22"/>
      <c r="Z19" s="22"/>
    </row>
    <row r="20">
      <c r="A20" s="4" t="s">
        <v>71</v>
      </c>
      <c r="B20" s="5"/>
      <c r="C20" s="5"/>
    </row>
    <row r="21">
      <c r="A21" s="3"/>
      <c r="C21" s="9" t="s">
        <v>73</v>
      </c>
    </row>
    <row r="22" ht="15.75" customHeight="1">
      <c r="A22" s="6" t="s">
        <v>74</v>
      </c>
      <c r="B22" s="7"/>
      <c r="C22" s="9"/>
    </row>
    <row r="23" ht="15.75" customHeight="1">
      <c r="A23" s="6" t="s">
        <v>66</v>
      </c>
      <c r="B23" s="7"/>
      <c r="C23" s="9"/>
    </row>
    <row r="24" ht="15.75" customHeight="1">
      <c r="A24" s="6" t="s">
        <v>64</v>
      </c>
      <c r="B24" s="7"/>
      <c r="C24" s="9"/>
    </row>
    <row r="25" ht="15.75" customHeight="1">
      <c r="A25" s="6" t="s">
        <v>62</v>
      </c>
      <c r="B25" s="7"/>
      <c r="C25" s="9"/>
    </row>
    <row r="26" ht="15.75" customHeight="1">
      <c r="A26" s="6" t="s">
        <v>81</v>
      </c>
      <c r="B26" s="7"/>
      <c r="C26" s="9"/>
    </row>
    <row r="27" ht="15.75" customHeight="1">
      <c r="A27" s="6" t="s">
        <v>88</v>
      </c>
      <c r="B27" s="7"/>
      <c r="C27" s="9"/>
    </row>
    <row r="28" ht="15.75" customHeight="1">
      <c r="A28" s="3"/>
    </row>
    <row r="29" ht="15.75" customHeight="1">
      <c r="A29" s="4" t="s">
        <v>92</v>
      </c>
      <c r="B29" s="5"/>
      <c r="C29" s="5"/>
    </row>
    <row r="30" ht="15.75" customHeight="1">
      <c r="A30" s="6" t="s">
        <v>95</v>
      </c>
      <c r="C30" s="9" t="s">
        <v>98</v>
      </c>
    </row>
    <row r="31" ht="15.75" customHeight="1">
      <c r="A31" s="6" t="s">
        <v>102</v>
      </c>
      <c r="C31" s="9" t="s">
        <v>104</v>
      </c>
    </row>
    <row r="32" ht="15.75" customHeight="1">
      <c r="A32" s="6" t="s">
        <v>108</v>
      </c>
      <c r="C32" s="9" t="s">
        <v>110</v>
      </c>
    </row>
    <row r="33" ht="15.75" customHeight="1">
      <c r="A33" s="6" t="s">
        <v>113</v>
      </c>
      <c r="C33" s="9" t="s">
        <v>115</v>
      </c>
    </row>
    <row r="34" ht="15.75" customHeight="1">
      <c r="A34" s="6" t="s">
        <v>119</v>
      </c>
      <c r="C34" s="9" t="s">
        <v>120</v>
      </c>
    </row>
    <row r="35" ht="15.75" customHeight="1">
      <c r="A35" s="6" t="s">
        <v>121</v>
      </c>
      <c r="C35" s="9" t="s">
        <v>123</v>
      </c>
    </row>
    <row r="36" ht="15.75" customHeight="1">
      <c r="A36" s="6" t="s">
        <v>125</v>
      </c>
      <c r="C36" s="9" t="s">
        <v>127</v>
      </c>
    </row>
    <row r="37" ht="15.75" customHeight="1">
      <c r="A37" s="6" t="s">
        <v>130</v>
      </c>
      <c r="C37" s="9" t="s">
        <v>132</v>
      </c>
    </row>
    <row r="38" ht="15.75" customHeight="1">
      <c r="A38" s="6" t="s">
        <v>133</v>
      </c>
      <c r="C38" s="9" t="s">
        <v>134</v>
      </c>
    </row>
    <row r="39" ht="15.75" customHeight="1">
      <c r="A39" s="3"/>
    </row>
    <row r="40" ht="15.75" customHeight="1">
      <c r="A40" s="4" t="s">
        <v>140</v>
      </c>
      <c r="B40" s="5"/>
      <c r="C40" s="5"/>
    </row>
    <row r="41" ht="15.75" customHeight="1">
      <c r="A41" s="6" t="s">
        <v>146</v>
      </c>
      <c r="C41" s="9" t="s">
        <v>148</v>
      </c>
    </row>
    <row r="42" ht="15.75" customHeight="1">
      <c r="A42" s="3"/>
    </row>
    <row r="43" ht="15.75" customHeight="1">
      <c r="A43" s="4" t="s">
        <v>153</v>
      </c>
      <c r="B43" s="5"/>
      <c r="C43" s="5"/>
    </row>
    <row r="44" ht="15.75" customHeight="1">
      <c r="A44" s="3"/>
      <c r="C44" s="9" t="s">
        <v>157</v>
      </c>
    </row>
    <row r="45" ht="15.75" customHeight="1"/>
    <row r="46" ht="15.75" customHeight="1">
      <c r="A46" s="29" t="s">
        <v>160</v>
      </c>
    </row>
    <row r="47" ht="15.75" customHeight="1">
      <c r="A47" s="31" t="s">
        <v>164</v>
      </c>
      <c r="C47" s="32" t="s">
        <v>166</v>
      </c>
    </row>
    <row r="48" ht="15.75" customHeight="1">
      <c r="A48" s="31" t="s">
        <v>169</v>
      </c>
      <c r="C48" s="32" t="s">
        <v>171</v>
      </c>
    </row>
    <row r="49" ht="15.75" customHeight="1">
      <c r="A49" s="31" t="s">
        <v>174</v>
      </c>
      <c r="C49" s="32" t="s">
        <v>175</v>
      </c>
    </row>
    <row r="50" ht="15.75" customHeight="1">
      <c r="A50" s="31" t="s">
        <v>177</v>
      </c>
      <c r="C50" s="32" t="s">
        <v>179</v>
      </c>
    </row>
    <row r="51" ht="15.75" customHeight="1">
      <c r="A51" s="31" t="s">
        <v>182</v>
      </c>
      <c r="C51" s="32" t="s">
        <v>183</v>
      </c>
    </row>
    <row r="52" ht="15.75" customHeight="1"/>
    <row r="53" ht="15.75" customHeight="1">
      <c r="A53" s="35" t="s">
        <v>185</v>
      </c>
      <c r="B53" s="36"/>
      <c r="C53" s="36"/>
    </row>
    <row r="54" ht="15.75" customHeight="1">
      <c r="A54" s="37" t="s">
        <v>194</v>
      </c>
    </row>
    <row r="55" ht="15.75" customHeight="1"/>
    <row r="56" ht="15.75" customHeight="1">
      <c r="A56" s="35" t="s">
        <v>196</v>
      </c>
      <c r="B56" s="36"/>
      <c r="C56" s="36"/>
    </row>
    <row r="57" ht="15.75" customHeight="1">
      <c r="A57" s="37" t="s">
        <v>200</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dataValidation type="list" allowBlank="1" sqref="B26">
      <formula1>"Rascunho,Em revisão,Revisado,Congelado"</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24.0"/>
    <col customWidth="1" min="3" max="3" width="44.0"/>
    <col customWidth="1" min="4" max="5" width="30.0"/>
    <col customWidth="1" min="6" max="6" width="16.0"/>
    <col customWidth="1" min="7" max="7" width="36.0"/>
    <col customWidth="1" min="8" max="8" width="16.0"/>
    <col customWidth="1" min="9" max="9" width="30.0"/>
    <col customWidth="1" min="10" max="26" width="8.71"/>
  </cols>
  <sheetData>
    <row r="1">
      <c r="A1" s="1" t="s">
        <v>4</v>
      </c>
    </row>
    <row r="2">
      <c r="A2" s="2" t="s">
        <v>7</v>
      </c>
    </row>
    <row r="3" ht="31.5" customHeight="1">
      <c r="A3" s="12" t="s">
        <v>9</v>
      </c>
      <c r="B3" s="12" t="s">
        <v>14</v>
      </c>
      <c r="C3" s="12" t="s">
        <v>15</v>
      </c>
      <c r="D3" s="12" t="s">
        <v>16</v>
      </c>
      <c r="E3" s="12" t="s">
        <v>17</v>
      </c>
      <c r="F3" s="12" t="s">
        <v>18</v>
      </c>
      <c r="G3" s="12" t="s">
        <v>19</v>
      </c>
      <c r="H3" s="12" t="s">
        <v>22</v>
      </c>
      <c r="I3" s="12" t="s">
        <v>23</v>
      </c>
    </row>
    <row r="4">
      <c r="A4" s="14" t="s">
        <v>25</v>
      </c>
      <c r="B4" s="16" t="s">
        <v>29</v>
      </c>
      <c r="C4" s="14" t="s">
        <v>46</v>
      </c>
      <c r="D4" s="16"/>
      <c r="E4" s="16"/>
      <c r="F4" s="16"/>
      <c r="G4" s="16"/>
      <c r="H4" s="16" t="s">
        <v>65</v>
      </c>
      <c r="I4" s="16" t="s">
        <v>67</v>
      </c>
    </row>
    <row r="5">
      <c r="A5" s="14" t="s">
        <v>69</v>
      </c>
      <c r="B5" s="16" t="s">
        <v>70</v>
      </c>
      <c r="C5" s="14" t="s">
        <v>72</v>
      </c>
      <c r="D5" s="16"/>
      <c r="E5" s="16"/>
      <c r="F5" s="16"/>
      <c r="G5" s="16"/>
      <c r="H5" s="16" t="s">
        <v>65</v>
      </c>
      <c r="I5" s="16" t="s">
        <v>67</v>
      </c>
    </row>
    <row r="6">
      <c r="A6" s="14" t="s">
        <v>76</v>
      </c>
      <c r="B6" s="16" t="s">
        <v>77</v>
      </c>
      <c r="C6" s="14" t="s">
        <v>79</v>
      </c>
      <c r="D6" s="16"/>
      <c r="E6" s="16"/>
      <c r="F6" s="16"/>
      <c r="G6" s="16"/>
      <c r="H6" s="16" t="s">
        <v>65</v>
      </c>
      <c r="I6" s="16" t="s">
        <v>67</v>
      </c>
    </row>
    <row r="7">
      <c r="A7" s="16"/>
      <c r="B7" s="16"/>
      <c r="C7" s="16"/>
      <c r="D7" s="16"/>
      <c r="E7" s="16"/>
      <c r="F7" s="16"/>
      <c r="G7" s="16"/>
      <c r="H7" s="16"/>
      <c r="I7" s="16"/>
    </row>
    <row r="8">
      <c r="A8" s="16"/>
      <c r="B8" s="16"/>
      <c r="C8" s="16"/>
      <c r="D8" s="16"/>
      <c r="E8" s="16"/>
      <c r="F8" s="16"/>
      <c r="G8" s="16"/>
      <c r="H8" s="16"/>
      <c r="I8" s="16"/>
    </row>
    <row r="9">
      <c r="A9" s="16"/>
      <c r="B9" s="16"/>
      <c r="C9" s="16"/>
      <c r="D9" s="16"/>
      <c r="E9" s="16"/>
      <c r="F9" s="16"/>
      <c r="G9" s="16"/>
      <c r="H9" s="16"/>
      <c r="I9" s="16"/>
    </row>
    <row r="10">
      <c r="A10" s="16"/>
      <c r="B10" s="16"/>
      <c r="C10" s="16"/>
      <c r="D10" s="16"/>
      <c r="E10" s="16"/>
      <c r="F10" s="16"/>
      <c r="G10" s="16"/>
      <c r="H10" s="16"/>
      <c r="I10" s="16"/>
    </row>
    <row r="11">
      <c r="A11" s="16"/>
      <c r="B11" s="16"/>
      <c r="C11" s="16"/>
      <c r="D11" s="16"/>
      <c r="E11" s="16"/>
      <c r="F11" s="16"/>
      <c r="G11" s="16"/>
      <c r="H11" s="16"/>
      <c r="I11" s="16"/>
    </row>
    <row r="12">
      <c r="A12" s="16"/>
      <c r="B12" s="16"/>
      <c r="C12" s="16"/>
      <c r="D12" s="16"/>
      <c r="E12" s="16"/>
      <c r="F12" s="16"/>
      <c r="G12" s="16"/>
      <c r="H12" s="16"/>
      <c r="I12" s="16"/>
    </row>
    <row r="13">
      <c r="A13" s="16"/>
      <c r="B13" s="16"/>
      <c r="C13" s="16"/>
      <c r="D13" s="16"/>
      <c r="E13" s="16"/>
      <c r="F13" s="16"/>
      <c r="G13" s="16"/>
      <c r="H13" s="16"/>
      <c r="I13" s="16"/>
    </row>
    <row r="14">
      <c r="A14" s="16"/>
      <c r="B14" s="16"/>
      <c r="C14" s="16"/>
      <c r="D14" s="16"/>
      <c r="E14" s="16"/>
      <c r="F14" s="16"/>
      <c r="G14" s="16"/>
      <c r="H14" s="16"/>
      <c r="I14" s="16"/>
    </row>
    <row r="15">
      <c r="A15" s="16"/>
      <c r="B15" s="16"/>
      <c r="C15" s="16"/>
      <c r="D15" s="16"/>
      <c r="E15" s="16"/>
      <c r="F15" s="16"/>
      <c r="G15" s="16"/>
      <c r="H15" s="16"/>
      <c r="I15" s="16"/>
    </row>
    <row r="16">
      <c r="A16" s="16"/>
      <c r="B16" s="16"/>
      <c r="C16" s="16"/>
      <c r="D16" s="16"/>
      <c r="E16" s="16"/>
      <c r="F16" s="16"/>
      <c r="G16" s="16"/>
      <c r="H16" s="16"/>
      <c r="I16" s="16"/>
    </row>
    <row r="17">
      <c r="A17" s="16"/>
      <c r="B17" s="16"/>
      <c r="C17" s="16"/>
      <c r="D17" s="16"/>
      <c r="E17" s="16"/>
      <c r="F17" s="16"/>
      <c r="G17" s="16"/>
      <c r="H17" s="16"/>
      <c r="I17" s="16"/>
    </row>
    <row r="18">
      <c r="A18" s="16"/>
      <c r="B18" s="16"/>
      <c r="C18" s="16"/>
      <c r="D18" s="16"/>
      <c r="E18" s="16"/>
      <c r="F18" s="16"/>
      <c r="G18" s="16"/>
      <c r="H18" s="16"/>
      <c r="I18"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I$18"/>
  <conditionalFormatting sqref="B4:I18">
    <cfRule type="expression" dxfId="0" priority="1">
      <formula>AND($A4&lt;&gt;"",B4="")</formula>
    </cfRule>
  </conditionalFormatting>
  <dataValidations>
    <dataValidation type="list" allowBlank="1" sqref="H4:H18">
      <formula1>"Candidata,Selecionada,Descartada"</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14.0"/>
    <col customWidth="1" min="3" max="3" width="40.0"/>
    <col customWidth="1" min="4" max="4" width="16.0"/>
    <col customWidth="1" min="5" max="5" width="36.0"/>
    <col customWidth="1" min="6" max="6" width="14.0"/>
    <col customWidth="1" min="7" max="7" width="16.0"/>
    <col customWidth="1" min="8" max="8" width="40.0"/>
    <col customWidth="1" min="9" max="9" width="14.0"/>
    <col customWidth="1" min="10" max="10" width="10.0"/>
    <col customWidth="1" min="11" max="12" width="28.0"/>
    <col customWidth="1" min="13" max="13" width="30.0"/>
    <col customWidth="1" min="14" max="14" width="26.0"/>
    <col customWidth="1" min="15" max="15" width="14.0"/>
    <col customWidth="1" min="16" max="16" width="16.0"/>
    <col customWidth="1" min="17" max="17" width="14.0"/>
    <col customWidth="1" min="18" max="18" width="18.0"/>
    <col customWidth="1" min="19" max="25" width="8.71"/>
  </cols>
  <sheetData>
    <row r="1">
      <c r="A1" s="8" t="s">
        <v>5</v>
      </c>
      <c r="B1" s="10"/>
      <c r="C1" s="10"/>
      <c r="D1" s="10"/>
      <c r="E1" s="10"/>
      <c r="F1" s="10"/>
      <c r="G1" s="10"/>
      <c r="H1" s="10"/>
      <c r="I1" s="10"/>
      <c r="J1" s="10"/>
      <c r="K1" s="10"/>
      <c r="L1" s="10"/>
      <c r="M1" s="10"/>
      <c r="N1" s="10"/>
      <c r="O1" s="10"/>
      <c r="P1" s="10"/>
      <c r="Q1" s="10"/>
      <c r="R1" s="10"/>
    </row>
    <row r="2">
      <c r="A2" s="13" t="s">
        <v>21</v>
      </c>
      <c r="B2" s="10"/>
      <c r="C2" s="10"/>
      <c r="D2" s="10"/>
      <c r="E2" s="10"/>
      <c r="F2" s="10"/>
      <c r="G2" s="10"/>
      <c r="H2" s="10"/>
      <c r="I2" s="10"/>
      <c r="J2" s="10"/>
      <c r="K2" s="10"/>
      <c r="L2" s="10"/>
      <c r="M2" s="10"/>
      <c r="N2" s="10"/>
      <c r="O2" s="10"/>
      <c r="P2" s="10"/>
      <c r="Q2" s="10"/>
      <c r="R2" s="10"/>
    </row>
    <row r="3" ht="31.5" customHeight="1">
      <c r="A3" s="12" t="s">
        <v>32</v>
      </c>
      <c r="B3" s="12" t="s">
        <v>35</v>
      </c>
      <c r="C3" s="12" t="s">
        <v>43</v>
      </c>
      <c r="D3" s="12" t="s">
        <v>44</v>
      </c>
      <c r="E3" s="12" t="s">
        <v>47</v>
      </c>
      <c r="F3" s="12" t="s">
        <v>49</v>
      </c>
      <c r="G3" s="12" t="s">
        <v>50</v>
      </c>
      <c r="H3" s="12" t="s">
        <v>51</v>
      </c>
      <c r="I3" s="12" t="s">
        <v>52</v>
      </c>
      <c r="J3" s="12" t="s">
        <v>54</v>
      </c>
      <c r="K3" s="12" t="s">
        <v>55</v>
      </c>
      <c r="L3" s="12" t="s">
        <v>57</v>
      </c>
      <c r="M3" s="12" t="s">
        <v>58</v>
      </c>
      <c r="N3" s="12" t="s">
        <v>23</v>
      </c>
      <c r="O3" s="12" t="s">
        <v>61</v>
      </c>
      <c r="P3" s="12" t="s">
        <v>62</v>
      </c>
      <c r="Q3" s="12" t="s">
        <v>64</v>
      </c>
      <c r="R3" s="12" t="s">
        <v>66</v>
      </c>
    </row>
    <row r="4">
      <c r="A4" s="23" t="s">
        <v>25</v>
      </c>
      <c r="B4" s="23" t="s">
        <v>75</v>
      </c>
      <c r="C4" s="24" t="s">
        <v>78</v>
      </c>
      <c r="D4" s="25" t="s">
        <v>80</v>
      </c>
      <c r="E4" s="24" t="s">
        <v>83</v>
      </c>
      <c r="F4" s="24" t="s">
        <v>89</v>
      </c>
      <c r="G4" s="26" t="s">
        <v>90</v>
      </c>
      <c r="H4" s="24" t="s">
        <v>94</v>
      </c>
      <c r="I4" s="24" t="s">
        <v>91</v>
      </c>
      <c r="J4" s="24" t="s">
        <v>101</v>
      </c>
      <c r="K4" s="24" t="s">
        <v>103</v>
      </c>
      <c r="L4" s="24" t="s">
        <v>105</v>
      </c>
      <c r="M4" s="24" t="s">
        <v>107</v>
      </c>
      <c r="N4" s="24" t="s">
        <v>109</v>
      </c>
      <c r="O4" s="24" t="s">
        <v>117</v>
      </c>
      <c r="P4" s="27">
        <v>46294.0</v>
      </c>
      <c r="Q4" s="27">
        <v>46293.0</v>
      </c>
      <c r="R4" s="24" t="s">
        <v>128</v>
      </c>
    </row>
    <row r="5">
      <c r="A5" s="23" t="s">
        <v>25</v>
      </c>
      <c r="B5" s="28" t="s">
        <v>100</v>
      </c>
      <c r="C5" s="24" t="s">
        <v>135</v>
      </c>
      <c r="D5" s="23" t="s">
        <v>137</v>
      </c>
      <c r="E5" s="24" t="s">
        <v>138</v>
      </c>
      <c r="F5" s="24" t="s">
        <v>89</v>
      </c>
      <c r="G5" s="26" t="s">
        <v>143</v>
      </c>
      <c r="H5" s="24" t="s">
        <v>145</v>
      </c>
      <c r="I5" s="24" t="s">
        <v>91</v>
      </c>
      <c r="J5" s="24" t="s">
        <v>101</v>
      </c>
      <c r="K5" s="24" t="s">
        <v>151</v>
      </c>
      <c r="L5" s="24" t="s">
        <v>154</v>
      </c>
      <c r="M5" s="24" t="s">
        <v>155</v>
      </c>
      <c r="N5" s="24" t="s">
        <v>109</v>
      </c>
      <c r="O5" s="24" t="s">
        <v>117</v>
      </c>
      <c r="P5" s="27">
        <v>46294.0</v>
      </c>
      <c r="Q5" s="30">
        <v>46293.0</v>
      </c>
      <c r="R5" s="24" t="s">
        <v>128</v>
      </c>
    </row>
    <row r="6">
      <c r="A6" s="23" t="s">
        <v>25</v>
      </c>
      <c r="B6" s="23" t="s">
        <v>118</v>
      </c>
      <c r="C6" s="24" t="s">
        <v>165</v>
      </c>
      <c r="D6" s="23" t="s">
        <v>167</v>
      </c>
      <c r="E6" s="24" t="s">
        <v>168</v>
      </c>
      <c r="F6" s="24" t="s">
        <v>170</v>
      </c>
      <c r="G6" s="26" t="s">
        <v>172</v>
      </c>
      <c r="H6" s="24" t="s">
        <v>173</v>
      </c>
      <c r="I6" s="24" t="s">
        <v>91</v>
      </c>
      <c r="J6" s="24" t="s">
        <v>101</v>
      </c>
      <c r="K6" s="24" t="s">
        <v>176</v>
      </c>
      <c r="L6" s="24" t="s">
        <v>178</v>
      </c>
      <c r="M6" s="24" t="s">
        <v>180</v>
      </c>
      <c r="N6" s="24" t="s">
        <v>181</v>
      </c>
      <c r="O6" s="24" t="s">
        <v>117</v>
      </c>
      <c r="P6" s="27">
        <v>46294.0</v>
      </c>
      <c r="Q6" s="30">
        <v>46293.0</v>
      </c>
      <c r="R6" s="24" t="s">
        <v>128</v>
      </c>
    </row>
    <row r="7">
      <c r="A7" s="23" t="s">
        <v>25</v>
      </c>
      <c r="B7" s="23" t="s">
        <v>118</v>
      </c>
      <c r="C7" s="24" t="s">
        <v>165</v>
      </c>
      <c r="D7" s="23" t="s">
        <v>187</v>
      </c>
      <c r="E7" s="24" t="s">
        <v>188</v>
      </c>
      <c r="F7" s="24" t="s">
        <v>170</v>
      </c>
      <c r="G7" s="26" t="s">
        <v>191</v>
      </c>
      <c r="H7" s="24" t="s">
        <v>192</v>
      </c>
      <c r="I7" s="24" t="s">
        <v>91</v>
      </c>
      <c r="J7" s="24" t="s">
        <v>101</v>
      </c>
      <c r="K7" s="24" t="s">
        <v>201</v>
      </c>
      <c r="L7" s="24" t="s">
        <v>178</v>
      </c>
      <c r="M7" s="24" t="s">
        <v>203</v>
      </c>
      <c r="N7" s="24" t="s">
        <v>205</v>
      </c>
      <c r="O7" s="24" t="s">
        <v>117</v>
      </c>
      <c r="P7" s="27">
        <v>46294.0</v>
      </c>
      <c r="Q7" s="30">
        <v>46293.0</v>
      </c>
      <c r="R7" s="24" t="s">
        <v>128</v>
      </c>
    </row>
    <row r="8">
      <c r="A8" s="23" t="s">
        <v>25</v>
      </c>
      <c r="B8" s="23" t="s">
        <v>149</v>
      </c>
      <c r="C8" s="24" t="s">
        <v>207</v>
      </c>
      <c r="D8" s="23" t="s">
        <v>209</v>
      </c>
      <c r="E8" s="24" t="s">
        <v>211</v>
      </c>
      <c r="F8" s="24" t="s">
        <v>213</v>
      </c>
      <c r="G8" s="26" t="s">
        <v>214</v>
      </c>
      <c r="H8" s="24" t="s">
        <v>216</v>
      </c>
      <c r="I8" s="24" t="s">
        <v>150</v>
      </c>
      <c r="J8" s="24" t="s">
        <v>218</v>
      </c>
      <c r="K8" s="24" t="s">
        <v>220</v>
      </c>
      <c r="L8" s="24" t="s">
        <v>221</v>
      </c>
      <c r="M8" s="24" t="s">
        <v>223</v>
      </c>
      <c r="N8" s="24" t="s">
        <v>225</v>
      </c>
      <c r="O8" s="24" t="s">
        <v>117</v>
      </c>
      <c r="P8" s="27">
        <v>46294.0</v>
      </c>
      <c r="Q8" s="30">
        <v>46293.0</v>
      </c>
      <c r="R8" s="24" t="s">
        <v>128</v>
      </c>
    </row>
    <row r="9">
      <c r="A9" s="23" t="s">
        <v>25</v>
      </c>
      <c r="B9" s="23" t="s">
        <v>229</v>
      </c>
      <c r="C9" s="24" t="s">
        <v>230</v>
      </c>
      <c r="D9" s="23" t="s">
        <v>231</v>
      </c>
      <c r="E9" s="24" t="s">
        <v>232</v>
      </c>
      <c r="F9" s="24" t="s">
        <v>234</v>
      </c>
      <c r="G9" s="26" t="s">
        <v>235</v>
      </c>
      <c r="H9" s="24" t="s">
        <v>244</v>
      </c>
      <c r="I9" s="24" t="s">
        <v>162</v>
      </c>
      <c r="J9" s="24" t="s">
        <v>101</v>
      </c>
      <c r="K9" s="24" t="s">
        <v>248</v>
      </c>
      <c r="L9" s="24" t="s">
        <v>249</v>
      </c>
      <c r="M9" s="24" t="s">
        <v>250</v>
      </c>
      <c r="N9" s="24" t="s">
        <v>252</v>
      </c>
      <c r="O9" s="24" t="s">
        <v>117</v>
      </c>
      <c r="P9" s="27">
        <v>46294.0</v>
      </c>
      <c r="Q9" s="30">
        <v>46293.0</v>
      </c>
      <c r="R9" s="24" t="s">
        <v>128</v>
      </c>
    </row>
    <row r="10">
      <c r="A10" s="23" t="s">
        <v>25</v>
      </c>
      <c r="B10" s="23" t="s">
        <v>255</v>
      </c>
      <c r="C10" s="24" t="s">
        <v>257</v>
      </c>
      <c r="D10" s="23" t="s">
        <v>258</v>
      </c>
      <c r="E10" s="38" t="s">
        <v>261</v>
      </c>
      <c r="F10" s="14" t="s">
        <v>234</v>
      </c>
      <c r="G10" s="26" t="s">
        <v>235</v>
      </c>
      <c r="H10" s="14" t="s">
        <v>263</v>
      </c>
      <c r="I10" s="14" t="s">
        <v>162</v>
      </c>
      <c r="J10" s="14" t="s">
        <v>101</v>
      </c>
      <c r="K10" s="14" t="s">
        <v>265</v>
      </c>
      <c r="L10" s="14" t="s">
        <v>266</v>
      </c>
      <c r="M10" s="14" t="s">
        <v>267</v>
      </c>
      <c r="N10" s="14" t="s">
        <v>268</v>
      </c>
      <c r="O10" s="24" t="s">
        <v>117</v>
      </c>
      <c r="P10" s="27">
        <v>46294.0</v>
      </c>
      <c r="Q10" s="30">
        <v>46293.0</v>
      </c>
      <c r="R10" s="24" t="s">
        <v>128</v>
      </c>
    </row>
    <row r="11">
      <c r="A11" s="40"/>
      <c r="B11" s="40"/>
      <c r="C11" s="41"/>
      <c r="D11" s="40"/>
      <c r="E11" s="41"/>
      <c r="F11" s="41"/>
      <c r="G11" s="42"/>
      <c r="H11" s="41"/>
      <c r="I11" s="41"/>
      <c r="J11" s="41"/>
      <c r="K11" s="41"/>
      <c r="L11" s="41"/>
      <c r="M11" s="41"/>
      <c r="N11" s="41"/>
      <c r="O11" s="41"/>
      <c r="P11" s="43"/>
      <c r="Q11" s="44"/>
      <c r="R11" s="45"/>
    </row>
    <row r="12">
      <c r="A12" s="23" t="s">
        <v>69</v>
      </c>
      <c r="B12" s="23" t="s">
        <v>195</v>
      </c>
      <c r="C12" s="14" t="s">
        <v>284</v>
      </c>
      <c r="D12" s="23" t="s">
        <v>285</v>
      </c>
      <c r="E12" s="14" t="s">
        <v>287</v>
      </c>
      <c r="F12" s="14" t="s">
        <v>234</v>
      </c>
      <c r="G12" s="26" t="s">
        <v>289</v>
      </c>
      <c r="H12" s="14" t="s">
        <v>290</v>
      </c>
      <c r="I12" s="14" t="s">
        <v>162</v>
      </c>
      <c r="J12" s="14" t="s">
        <v>101</v>
      </c>
      <c r="K12" s="14" t="s">
        <v>293</v>
      </c>
      <c r="L12" s="14" t="s">
        <v>295</v>
      </c>
      <c r="M12" s="14" t="s">
        <v>296</v>
      </c>
      <c r="N12" s="14" t="s">
        <v>297</v>
      </c>
      <c r="O12" s="14" t="s">
        <v>117</v>
      </c>
      <c r="P12" s="27">
        <v>46294.0</v>
      </c>
      <c r="Q12" s="30">
        <v>46293.0</v>
      </c>
      <c r="R12" s="24" t="s">
        <v>128</v>
      </c>
    </row>
    <row r="13">
      <c r="A13" s="23" t="s">
        <v>69</v>
      </c>
      <c r="B13" s="23" t="s">
        <v>204</v>
      </c>
      <c r="C13" s="38" t="s">
        <v>302</v>
      </c>
      <c r="D13" s="23" t="s">
        <v>303</v>
      </c>
      <c r="E13" s="14" t="s">
        <v>305</v>
      </c>
      <c r="F13" s="14" t="s">
        <v>213</v>
      </c>
      <c r="G13" s="26" t="s">
        <v>308</v>
      </c>
      <c r="H13" s="14" t="s">
        <v>309</v>
      </c>
      <c r="I13" s="14" t="s">
        <v>150</v>
      </c>
      <c r="J13" s="14" t="s">
        <v>218</v>
      </c>
      <c r="K13" s="14" t="s">
        <v>313</v>
      </c>
      <c r="L13" s="14" t="s">
        <v>315</v>
      </c>
      <c r="M13" s="14" t="s">
        <v>296</v>
      </c>
      <c r="N13" s="14" t="s">
        <v>317</v>
      </c>
      <c r="O13" s="14" t="s">
        <v>117</v>
      </c>
      <c r="P13" s="27">
        <v>46294.0</v>
      </c>
      <c r="Q13" s="30">
        <v>46293.0</v>
      </c>
      <c r="R13" s="24" t="s">
        <v>128</v>
      </c>
    </row>
    <row r="14">
      <c r="A14" s="23" t="s">
        <v>69</v>
      </c>
      <c r="B14" s="23" t="s">
        <v>217</v>
      </c>
      <c r="C14" s="14" t="s">
        <v>321</v>
      </c>
      <c r="D14" s="23" t="s">
        <v>323</v>
      </c>
      <c r="E14" s="14" t="s">
        <v>324</v>
      </c>
      <c r="F14" s="14" t="s">
        <v>234</v>
      </c>
      <c r="G14" s="26" t="s">
        <v>326</v>
      </c>
      <c r="H14" s="14" t="s">
        <v>328</v>
      </c>
      <c r="I14" s="14" t="s">
        <v>162</v>
      </c>
      <c r="J14" s="14" t="s">
        <v>101</v>
      </c>
      <c r="K14" s="14" t="s">
        <v>330</v>
      </c>
      <c r="L14" s="14" t="s">
        <v>332</v>
      </c>
      <c r="M14" s="14" t="s">
        <v>296</v>
      </c>
      <c r="N14" s="14" t="s">
        <v>334</v>
      </c>
      <c r="O14" s="14" t="s">
        <v>117</v>
      </c>
      <c r="P14" s="27">
        <v>46294.0</v>
      </c>
      <c r="Q14" s="30">
        <v>46293.0</v>
      </c>
      <c r="R14" s="24" t="s">
        <v>128</v>
      </c>
    </row>
    <row r="15">
      <c r="A15" s="23" t="s">
        <v>69</v>
      </c>
      <c r="B15" s="23" t="s">
        <v>228</v>
      </c>
      <c r="C15" s="14" t="s">
        <v>338</v>
      </c>
      <c r="D15" s="23" t="s">
        <v>339</v>
      </c>
      <c r="E15" s="14" t="s">
        <v>340</v>
      </c>
      <c r="F15" s="14" t="s">
        <v>234</v>
      </c>
      <c r="G15" s="26" t="s">
        <v>341</v>
      </c>
      <c r="H15" s="14" t="s">
        <v>342</v>
      </c>
      <c r="I15" s="14" t="s">
        <v>162</v>
      </c>
      <c r="J15" s="14" t="s">
        <v>101</v>
      </c>
      <c r="K15" s="14" t="s">
        <v>343</v>
      </c>
      <c r="L15" s="14" t="s">
        <v>344</v>
      </c>
      <c r="M15" s="14" t="s">
        <v>296</v>
      </c>
      <c r="N15" s="14" t="s">
        <v>345</v>
      </c>
      <c r="O15" s="14" t="s">
        <v>117</v>
      </c>
      <c r="P15" s="27">
        <v>46294.0</v>
      </c>
      <c r="Q15" s="30">
        <v>46293.0</v>
      </c>
      <c r="R15" s="24" t="s">
        <v>128</v>
      </c>
    </row>
    <row r="16">
      <c r="A16" s="23" t="s">
        <v>69</v>
      </c>
      <c r="B16" s="23" t="s">
        <v>240</v>
      </c>
      <c r="C16" s="14" t="s">
        <v>346</v>
      </c>
      <c r="D16" s="23" t="s">
        <v>347</v>
      </c>
      <c r="E16" s="14" t="s">
        <v>348</v>
      </c>
      <c r="F16" s="14" t="s">
        <v>213</v>
      </c>
      <c r="G16" s="26" t="s">
        <v>349</v>
      </c>
      <c r="H16" s="14" t="s">
        <v>350</v>
      </c>
      <c r="I16" s="14" t="s">
        <v>150</v>
      </c>
      <c r="J16" s="14" t="s">
        <v>218</v>
      </c>
      <c r="K16" s="14" t="s">
        <v>351</v>
      </c>
      <c r="L16" s="14" t="s">
        <v>352</v>
      </c>
      <c r="M16" s="14" t="s">
        <v>296</v>
      </c>
      <c r="N16" s="14" t="s">
        <v>353</v>
      </c>
      <c r="O16" s="14" t="s">
        <v>117</v>
      </c>
      <c r="P16" s="27">
        <v>46294.0</v>
      </c>
      <c r="Q16" s="30">
        <v>46293.0</v>
      </c>
      <c r="R16" s="24" t="s">
        <v>128</v>
      </c>
    </row>
    <row r="17">
      <c r="A17" s="23" t="s">
        <v>69</v>
      </c>
      <c r="B17" s="23" t="s">
        <v>247</v>
      </c>
      <c r="C17" s="14" t="s">
        <v>354</v>
      </c>
      <c r="D17" s="23" t="s">
        <v>355</v>
      </c>
      <c r="E17" s="14" t="s">
        <v>356</v>
      </c>
      <c r="F17" s="14" t="s">
        <v>234</v>
      </c>
      <c r="G17" s="26" t="s">
        <v>357</v>
      </c>
      <c r="H17" s="14" t="s">
        <v>358</v>
      </c>
      <c r="I17" s="14" t="s">
        <v>162</v>
      </c>
      <c r="J17" s="14" t="s">
        <v>101</v>
      </c>
      <c r="K17" s="14" t="s">
        <v>359</v>
      </c>
      <c r="L17" s="14" t="s">
        <v>360</v>
      </c>
      <c r="M17" s="14" t="s">
        <v>296</v>
      </c>
      <c r="N17" s="14" t="s">
        <v>361</v>
      </c>
      <c r="O17" s="14" t="s">
        <v>117</v>
      </c>
      <c r="P17" s="27">
        <v>46294.0</v>
      </c>
      <c r="Q17" s="30">
        <v>46293.0</v>
      </c>
      <c r="R17" s="24" t="s">
        <v>128</v>
      </c>
    </row>
    <row r="18">
      <c r="A18" s="23" t="s">
        <v>69</v>
      </c>
      <c r="B18" s="23" t="s">
        <v>260</v>
      </c>
      <c r="C18" s="14" t="s">
        <v>362</v>
      </c>
      <c r="D18" s="23" t="s">
        <v>363</v>
      </c>
      <c r="E18" s="14" t="s">
        <v>364</v>
      </c>
      <c r="F18" s="14" t="s">
        <v>234</v>
      </c>
      <c r="G18" s="26" t="s">
        <v>365</v>
      </c>
      <c r="H18" s="14" t="s">
        <v>366</v>
      </c>
      <c r="I18" s="14" t="s">
        <v>162</v>
      </c>
      <c r="J18" s="14" t="s">
        <v>101</v>
      </c>
      <c r="K18" s="14" t="s">
        <v>367</v>
      </c>
      <c r="L18" s="14" t="s">
        <v>368</v>
      </c>
      <c r="M18" s="14" t="s">
        <v>296</v>
      </c>
      <c r="N18" s="14" t="s">
        <v>369</v>
      </c>
      <c r="O18" s="14" t="s">
        <v>117</v>
      </c>
      <c r="P18" s="27">
        <v>46294.0</v>
      </c>
      <c r="Q18" s="30">
        <v>46293.0</v>
      </c>
      <c r="R18" s="24" t="s">
        <v>128</v>
      </c>
    </row>
    <row r="19" ht="15.75" customHeight="1">
      <c r="A19" s="43"/>
      <c r="B19" s="43"/>
      <c r="C19" s="43"/>
      <c r="D19" s="43"/>
      <c r="E19" s="43"/>
      <c r="F19" s="43"/>
      <c r="G19" s="43"/>
      <c r="H19" s="43"/>
      <c r="I19" s="43"/>
      <c r="J19" s="43"/>
      <c r="K19" s="43"/>
      <c r="L19" s="43"/>
      <c r="M19" s="43"/>
      <c r="N19" s="43"/>
      <c r="O19" s="43"/>
      <c r="P19" s="43"/>
      <c r="Q19" s="44"/>
      <c r="R19" s="43"/>
    </row>
    <row r="20">
      <c r="A20" s="23" t="s">
        <v>76</v>
      </c>
      <c r="B20" s="23" t="s">
        <v>273</v>
      </c>
      <c r="C20" s="14" t="s">
        <v>370</v>
      </c>
      <c r="D20" s="23" t="s">
        <v>371</v>
      </c>
      <c r="E20" s="14" t="s">
        <v>372</v>
      </c>
      <c r="F20" s="14" t="s">
        <v>89</v>
      </c>
      <c r="G20" s="26" t="s">
        <v>373</v>
      </c>
      <c r="H20" s="14" t="s">
        <v>374</v>
      </c>
      <c r="I20" s="14" t="s">
        <v>91</v>
      </c>
      <c r="J20" s="14" t="s">
        <v>101</v>
      </c>
      <c r="K20" s="14" t="s">
        <v>375</v>
      </c>
      <c r="L20" s="14" t="s">
        <v>376</v>
      </c>
      <c r="M20" s="14" t="s">
        <v>296</v>
      </c>
      <c r="N20" s="14" t="s">
        <v>377</v>
      </c>
      <c r="O20" s="14" t="s">
        <v>117</v>
      </c>
      <c r="P20" s="27">
        <v>46294.0</v>
      </c>
      <c r="Q20" s="30">
        <v>46293.0</v>
      </c>
      <c r="R20" s="24" t="s">
        <v>128</v>
      </c>
    </row>
    <row r="21">
      <c r="A21" s="23" t="s">
        <v>76</v>
      </c>
      <c r="B21" s="23" t="s">
        <v>278</v>
      </c>
      <c r="C21" s="14" t="s">
        <v>378</v>
      </c>
      <c r="D21" s="23" t="s">
        <v>379</v>
      </c>
      <c r="E21" s="14" t="s">
        <v>380</v>
      </c>
      <c r="F21" s="14" t="s">
        <v>89</v>
      </c>
      <c r="G21" s="26" t="s">
        <v>381</v>
      </c>
      <c r="H21" s="14" t="s">
        <v>382</v>
      </c>
      <c r="I21" s="14" t="s">
        <v>91</v>
      </c>
      <c r="J21" s="14" t="s">
        <v>101</v>
      </c>
      <c r="K21" s="14" t="s">
        <v>383</v>
      </c>
      <c r="L21" s="14" t="s">
        <v>384</v>
      </c>
      <c r="M21" s="14" t="s">
        <v>296</v>
      </c>
      <c r="N21" s="14" t="s">
        <v>377</v>
      </c>
      <c r="O21" s="14" t="s">
        <v>117</v>
      </c>
      <c r="P21" s="27">
        <v>46294.0</v>
      </c>
      <c r="Q21" s="30">
        <v>46293.0</v>
      </c>
      <c r="R21" s="24" t="s">
        <v>128</v>
      </c>
    </row>
    <row r="22" ht="15.75" customHeight="1">
      <c r="A22" s="23" t="s">
        <v>76</v>
      </c>
      <c r="B22" s="23" t="s">
        <v>283</v>
      </c>
      <c r="C22" s="14" t="s">
        <v>385</v>
      </c>
      <c r="D22" s="23" t="s">
        <v>386</v>
      </c>
      <c r="E22" s="14" t="s">
        <v>387</v>
      </c>
      <c r="F22" s="14" t="s">
        <v>89</v>
      </c>
      <c r="G22" s="26" t="s">
        <v>388</v>
      </c>
      <c r="H22" s="14" t="s">
        <v>389</v>
      </c>
      <c r="I22" s="14" t="s">
        <v>91</v>
      </c>
      <c r="J22" s="14" t="s">
        <v>101</v>
      </c>
      <c r="K22" s="14" t="s">
        <v>390</v>
      </c>
      <c r="L22" s="14" t="s">
        <v>391</v>
      </c>
      <c r="M22" s="14" t="s">
        <v>296</v>
      </c>
      <c r="N22" s="14" t="s">
        <v>377</v>
      </c>
      <c r="O22" s="14" t="s">
        <v>117</v>
      </c>
      <c r="P22" s="27">
        <v>46294.0</v>
      </c>
      <c r="Q22" s="30">
        <v>46293.0</v>
      </c>
      <c r="R22" s="24" t="s">
        <v>128</v>
      </c>
    </row>
    <row r="23" ht="15.75" customHeight="1">
      <c r="A23" s="23" t="s">
        <v>76</v>
      </c>
      <c r="B23" s="23" t="s">
        <v>392</v>
      </c>
      <c r="C23" s="14" t="s">
        <v>393</v>
      </c>
      <c r="D23" s="23" t="s">
        <v>394</v>
      </c>
      <c r="E23" s="14" t="s">
        <v>395</v>
      </c>
      <c r="F23" s="14" t="s">
        <v>234</v>
      </c>
      <c r="G23" s="26" t="s">
        <v>396</v>
      </c>
      <c r="H23" s="14" t="s">
        <v>397</v>
      </c>
      <c r="I23" s="14" t="s">
        <v>162</v>
      </c>
      <c r="J23" s="14" t="s">
        <v>101</v>
      </c>
      <c r="K23" s="14" t="s">
        <v>398</v>
      </c>
      <c r="L23" s="14" t="s">
        <v>399</v>
      </c>
      <c r="M23" s="14" t="s">
        <v>400</v>
      </c>
      <c r="N23" s="14" t="s">
        <v>401</v>
      </c>
      <c r="O23" s="14" t="s">
        <v>117</v>
      </c>
      <c r="P23" s="27">
        <v>46294.0</v>
      </c>
      <c r="Q23" s="30">
        <v>46293.0</v>
      </c>
      <c r="R23" s="24" t="s">
        <v>128</v>
      </c>
    </row>
    <row r="24" ht="15.75" customHeight="1">
      <c r="A24" s="23" t="s">
        <v>76</v>
      </c>
      <c r="B24" s="23" t="s">
        <v>306</v>
      </c>
      <c r="C24" s="14" t="s">
        <v>402</v>
      </c>
      <c r="D24" s="23" t="s">
        <v>403</v>
      </c>
      <c r="E24" s="14" t="s">
        <v>404</v>
      </c>
      <c r="F24" s="14" t="s">
        <v>234</v>
      </c>
      <c r="G24" s="26" t="s">
        <v>405</v>
      </c>
      <c r="H24" s="14" t="s">
        <v>406</v>
      </c>
      <c r="I24" s="14" t="s">
        <v>162</v>
      </c>
      <c r="J24" s="14" t="s">
        <v>101</v>
      </c>
      <c r="K24" s="14" t="s">
        <v>407</v>
      </c>
      <c r="L24" s="14" t="s">
        <v>408</v>
      </c>
      <c r="M24" s="14" t="s">
        <v>409</v>
      </c>
      <c r="N24" s="14" t="s">
        <v>410</v>
      </c>
      <c r="O24" s="14" t="s">
        <v>117</v>
      </c>
      <c r="P24" s="27">
        <v>46294.0</v>
      </c>
      <c r="Q24" s="30">
        <v>46293.0</v>
      </c>
      <c r="R24" s="24" t="s">
        <v>128</v>
      </c>
    </row>
    <row r="25" ht="15.75" customHeight="1">
      <c r="A25" s="23" t="s">
        <v>76</v>
      </c>
      <c r="B25" s="23" t="s">
        <v>411</v>
      </c>
      <c r="C25" s="14" t="s">
        <v>412</v>
      </c>
      <c r="D25" s="23" t="s">
        <v>413</v>
      </c>
      <c r="E25" s="14" t="s">
        <v>414</v>
      </c>
      <c r="F25" s="14" t="s">
        <v>234</v>
      </c>
      <c r="G25" s="26" t="s">
        <v>396</v>
      </c>
      <c r="H25" s="14" t="s">
        <v>397</v>
      </c>
      <c r="I25" s="14" t="s">
        <v>162</v>
      </c>
      <c r="J25" s="14" t="s">
        <v>101</v>
      </c>
      <c r="K25" s="14" t="s">
        <v>398</v>
      </c>
      <c r="L25" s="14" t="s">
        <v>399</v>
      </c>
      <c r="M25" s="14" t="s">
        <v>400</v>
      </c>
      <c r="N25" s="14" t="s">
        <v>401</v>
      </c>
      <c r="O25" s="14" t="s">
        <v>117</v>
      </c>
      <c r="P25" s="27">
        <v>46294.0</v>
      </c>
      <c r="Q25" s="30">
        <v>46293.0</v>
      </c>
      <c r="R25" s="24" t="s">
        <v>128</v>
      </c>
    </row>
    <row r="26" ht="15.75" customHeight="1">
      <c r="A26" s="23" t="s">
        <v>76</v>
      </c>
      <c r="B26" s="23" t="s">
        <v>415</v>
      </c>
      <c r="C26" s="14" t="s">
        <v>416</v>
      </c>
      <c r="D26" s="23" t="s">
        <v>417</v>
      </c>
      <c r="E26" s="14" t="s">
        <v>418</v>
      </c>
      <c r="F26" s="14" t="s">
        <v>234</v>
      </c>
      <c r="G26" s="26" t="s">
        <v>419</v>
      </c>
      <c r="H26" s="14" t="s">
        <v>420</v>
      </c>
      <c r="I26" s="14" t="s">
        <v>162</v>
      </c>
      <c r="J26" s="14" t="s">
        <v>101</v>
      </c>
      <c r="K26" s="14" t="s">
        <v>421</v>
      </c>
      <c r="L26" s="14" t="s">
        <v>422</v>
      </c>
      <c r="M26" s="14" t="s">
        <v>423</v>
      </c>
      <c r="N26" s="14" t="s">
        <v>424</v>
      </c>
      <c r="O26" s="14" t="s">
        <v>117</v>
      </c>
      <c r="P26" s="27">
        <v>46294.0</v>
      </c>
      <c r="Q26" s="30">
        <v>46293.0</v>
      </c>
      <c r="R26" s="24" t="s">
        <v>128</v>
      </c>
    </row>
    <row r="27" ht="15.75" customHeight="1">
      <c r="A27" s="23" t="s">
        <v>76</v>
      </c>
      <c r="B27" s="23" t="s">
        <v>425</v>
      </c>
      <c r="C27" s="14" t="s">
        <v>426</v>
      </c>
      <c r="D27" s="23" t="s">
        <v>427</v>
      </c>
      <c r="E27" s="14" t="s">
        <v>428</v>
      </c>
      <c r="F27" s="14" t="s">
        <v>234</v>
      </c>
      <c r="G27" s="26" t="s">
        <v>419</v>
      </c>
      <c r="H27" s="14" t="s">
        <v>420</v>
      </c>
      <c r="I27" s="14" t="s">
        <v>162</v>
      </c>
      <c r="J27" s="14" t="s">
        <v>101</v>
      </c>
      <c r="K27" s="14" t="s">
        <v>421</v>
      </c>
      <c r="L27" s="14" t="s">
        <v>422</v>
      </c>
      <c r="M27" s="14" t="s">
        <v>423</v>
      </c>
      <c r="N27" s="14" t="s">
        <v>424</v>
      </c>
      <c r="O27" s="14" t="s">
        <v>117</v>
      </c>
      <c r="P27" s="27">
        <v>46294.0</v>
      </c>
      <c r="Q27" s="30">
        <v>46293.0</v>
      </c>
      <c r="R27" s="24" t="s">
        <v>128</v>
      </c>
    </row>
    <row r="28" ht="15.75" customHeight="1">
      <c r="A28" s="23" t="s">
        <v>76</v>
      </c>
      <c r="B28" s="23" t="s">
        <v>329</v>
      </c>
      <c r="C28" s="14" t="s">
        <v>429</v>
      </c>
      <c r="D28" s="23" t="s">
        <v>430</v>
      </c>
      <c r="E28" s="14" t="s">
        <v>431</v>
      </c>
      <c r="F28" s="14" t="s">
        <v>234</v>
      </c>
      <c r="G28" s="26" t="s">
        <v>432</v>
      </c>
      <c r="H28" s="14" t="s">
        <v>433</v>
      </c>
      <c r="I28" s="14" t="s">
        <v>162</v>
      </c>
      <c r="J28" s="14" t="s">
        <v>101</v>
      </c>
      <c r="K28" s="14" t="s">
        <v>434</v>
      </c>
      <c r="L28" s="14" t="s">
        <v>435</v>
      </c>
      <c r="M28" s="14" t="s">
        <v>436</v>
      </c>
      <c r="N28" s="14" t="s">
        <v>437</v>
      </c>
      <c r="O28" s="14" t="s">
        <v>117</v>
      </c>
      <c r="P28" s="27">
        <v>46294.0</v>
      </c>
      <c r="Q28" s="30">
        <v>46293.0</v>
      </c>
      <c r="R28" s="24" t="s">
        <v>128</v>
      </c>
    </row>
    <row r="29" ht="15.75" customHeight="1">
      <c r="A29" s="23" t="s">
        <v>76</v>
      </c>
      <c r="B29" s="23" t="s">
        <v>337</v>
      </c>
      <c r="C29" s="14" t="s">
        <v>438</v>
      </c>
      <c r="D29" s="23" t="s">
        <v>439</v>
      </c>
      <c r="E29" s="14" t="s">
        <v>440</v>
      </c>
      <c r="F29" s="14" t="s">
        <v>234</v>
      </c>
      <c r="G29" s="26" t="s">
        <v>441</v>
      </c>
      <c r="H29" s="14" t="s">
        <v>442</v>
      </c>
      <c r="I29" s="14" t="s">
        <v>162</v>
      </c>
      <c r="J29" s="14" t="s">
        <v>101</v>
      </c>
      <c r="K29" s="14" t="s">
        <v>443</v>
      </c>
      <c r="L29" s="14" t="s">
        <v>444</v>
      </c>
      <c r="M29" s="14" t="s">
        <v>445</v>
      </c>
      <c r="N29" s="14" t="s">
        <v>446</v>
      </c>
      <c r="O29" s="14" t="s">
        <v>117</v>
      </c>
      <c r="P29" s="27">
        <v>46294.0</v>
      </c>
      <c r="Q29" s="30">
        <v>46293.0</v>
      </c>
      <c r="R29" s="24" t="s">
        <v>128</v>
      </c>
    </row>
    <row r="30" ht="15.75" customHeight="1">
      <c r="A30" s="16"/>
      <c r="B30" s="23"/>
      <c r="C30" s="16"/>
      <c r="D30" s="16"/>
      <c r="E30" s="16"/>
      <c r="F30" s="16"/>
      <c r="G30" s="16"/>
      <c r="H30" s="16"/>
      <c r="I30" s="16"/>
      <c r="J30" s="16"/>
      <c r="K30" s="16"/>
      <c r="L30" s="16"/>
      <c r="M30" s="16"/>
      <c r="N30" s="16"/>
      <c r="O30" s="16"/>
      <c r="P30" s="16"/>
      <c r="Q30" s="16"/>
      <c r="R30" s="16"/>
    </row>
    <row r="31" ht="15.75" customHeight="1">
      <c r="A31" s="16"/>
      <c r="B31" s="23"/>
      <c r="C31" s="16"/>
      <c r="D31" s="16"/>
      <c r="E31" s="16"/>
      <c r="F31" s="16"/>
      <c r="G31" s="16"/>
      <c r="H31" s="16"/>
      <c r="I31" s="16"/>
      <c r="J31" s="16"/>
      <c r="K31" s="16"/>
      <c r="L31" s="16"/>
      <c r="M31" s="16"/>
      <c r="N31" s="16"/>
      <c r="O31" s="16"/>
      <c r="P31" s="16"/>
      <c r="Q31" s="16"/>
      <c r="R31" s="16"/>
    </row>
    <row r="32" ht="15.75" customHeight="1">
      <c r="A32" s="16"/>
      <c r="B32" s="16"/>
      <c r="C32" s="16"/>
      <c r="D32" s="16"/>
      <c r="E32" s="16"/>
      <c r="F32" s="16"/>
      <c r="G32" s="16"/>
      <c r="H32" s="16"/>
      <c r="I32" s="16"/>
      <c r="J32" s="16"/>
      <c r="K32" s="16"/>
      <c r="L32" s="16"/>
      <c r="M32" s="16"/>
      <c r="N32" s="16"/>
      <c r="O32" s="16"/>
      <c r="P32" s="16"/>
      <c r="Q32" s="16"/>
      <c r="R32" s="16"/>
    </row>
    <row r="33" ht="15.75" customHeight="1">
      <c r="A33" s="16"/>
      <c r="B33" s="16"/>
      <c r="C33" s="16"/>
      <c r="D33" s="16"/>
      <c r="E33" s="16"/>
      <c r="F33" s="16"/>
      <c r="G33" s="16"/>
      <c r="H33" s="16"/>
      <c r="I33" s="16"/>
      <c r="J33" s="16"/>
      <c r="K33" s="16"/>
      <c r="L33" s="16"/>
      <c r="M33" s="16"/>
      <c r="N33" s="16"/>
      <c r="O33" s="16"/>
      <c r="P33" s="16"/>
      <c r="Q33" s="16"/>
      <c r="R33" s="16"/>
    </row>
    <row r="34" ht="15.75" customHeight="1">
      <c r="A34" s="16"/>
      <c r="B34" s="16"/>
      <c r="C34" s="16"/>
      <c r="D34" s="16"/>
      <c r="E34" s="16"/>
      <c r="F34" s="16"/>
      <c r="G34" s="16"/>
      <c r="H34" s="16"/>
      <c r="I34" s="16"/>
      <c r="J34" s="16"/>
      <c r="K34" s="16"/>
      <c r="L34" s="16"/>
      <c r="M34" s="16"/>
      <c r="N34" s="16"/>
      <c r="O34" s="16"/>
      <c r="P34" s="16"/>
      <c r="Q34" s="16"/>
      <c r="R34" s="16"/>
    </row>
    <row r="35" ht="15.75" customHeight="1">
      <c r="A35" s="16"/>
      <c r="B35" s="16"/>
      <c r="C35" s="16"/>
      <c r="D35" s="16"/>
      <c r="E35" s="16"/>
      <c r="F35" s="16"/>
      <c r="G35" s="16"/>
      <c r="H35" s="16"/>
      <c r="I35" s="16"/>
      <c r="J35" s="16"/>
      <c r="K35" s="16"/>
      <c r="L35" s="16"/>
      <c r="M35" s="16"/>
      <c r="N35" s="16"/>
      <c r="O35" s="16"/>
      <c r="P35" s="16"/>
      <c r="Q35" s="16"/>
      <c r="R35" s="16"/>
    </row>
    <row r="36" ht="15.75" customHeight="1">
      <c r="A36" s="16"/>
      <c r="B36" s="16"/>
      <c r="C36" s="16"/>
      <c r="D36" s="16"/>
      <c r="E36" s="16"/>
      <c r="F36" s="16"/>
      <c r="G36" s="16"/>
      <c r="H36" s="16"/>
      <c r="I36" s="16"/>
      <c r="J36" s="16"/>
      <c r="K36" s="16"/>
      <c r="L36" s="16"/>
      <c r="M36" s="16"/>
      <c r="N36" s="16"/>
      <c r="O36" s="16"/>
      <c r="P36" s="16"/>
      <c r="Q36" s="16"/>
      <c r="R36" s="16"/>
    </row>
    <row r="37" ht="15.75" customHeight="1">
      <c r="A37" s="16"/>
      <c r="B37" s="16"/>
      <c r="C37" s="16"/>
      <c r="D37" s="16"/>
      <c r="E37" s="16"/>
      <c r="F37" s="16"/>
      <c r="G37" s="16"/>
      <c r="H37" s="16"/>
      <c r="I37" s="16"/>
      <c r="J37" s="16"/>
      <c r="K37" s="16"/>
      <c r="L37" s="16"/>
      <c r="M37" s="16"/>
      <c r="N37" s="16"/>
      <c r="O37" s="16"/>
      <c r="P37" s="16"/>
      <c r="Q37" s="16"/>
      <c r="R37" s="16"/>
    </row>
    <row r="38" ht="15.75" customHeight="1">
      <c r="A38" s="16"/>
      <c r="B38" s="16"/>
      <c r="C38" s="16"/>
      <c r="D38" s="16"/>
      <c r="E38" s="16"/>
      <c r="F38" s="16"/>
      <c r="G38" s="16"/>
      <c r="H38" s="16"/>
      <c r="I38" s="16"/>
      <c r="J38" s="16"/>
      <c r="K38" s="16"/>
      <c r="L38" s="16"/>
      <c r="M38" s="16"/>
      <c r="N38" s="16"/>
      <c r="O38" s="16"/>
      <c r="P38" s="16"/>
      <c r="Q38" s="16"/>
      <c r="R38" s="16"/>
    </row>
    <row r="39" ht="15.75" customHeight="1">
      <c r="A39" s="16"/>
      <c r="B39" s="16"/>
      <c r="C39" s="16"/>
      <c r="D39" s="16"/>
      <c r="E39" s="16"/>
      <c r="F39" s="16"/>
      <c r="G39" s="16"/>
      <c r="H39" s="16"/>
      <c r="I39" s="16"/>
      <c r="J39" s="16"/>
      <c r="K39" s="16"/>
      <c r="L39" s="16"/>
      <c r="M39" s="16"/>
      <c r="N39" s="16"/>
      <c r="O39" s="16"/>
      <c r="P39" s="16"/>
      <c r="Q39" s="16"/>
      <c r="R39" s="16"/>
    </row>
    <row r="40" ht="15.75" customHeight="1">
      <c r="A40" s="16"/>
      <c r="B40" s="16"/>
      <c r="C40" s="16"/>
      <c r="D40" s="16"/>
      <c r="E40" s="16"/>
      <c r="F40" s="16"/>
      <c r="G40" s="16"/>
      <c r="H40" s="16"/>
      <c r="I40" s="16"/>
      <c r="J40" s="16"/>
      <c r="K40" s="16"/>
      <c r="L40" s="16"/>
      <c r="M40" s="16"/>
      <c r="N40" s="16"/>
      <c r="O40" s="16"/>
      <c r="P40" s="16"/>
      <c r="Q40" s="16"/>
      <c r="R40" s="16"/>
    </row>
    <row r="41" ht="15.75" customHeight="1">
      <c r="A41" s="16"/>
      <c r="B41" s="16"/>
      <c r="C41" s="16"/>
      <c r="D41" s="16"/>
      <c r="E41" s="16"/>
      <c r="F41" s="16"/>
      <c r="G41" s="16"/>
      <c r="H41" s="16"/>
      <c r="I41" s="16"/>
      <c r="J41" s="16"/>
      <c r="K41" s="16"/>
      <c r="L41" s="16"/>
      <c r="M41" s="16"/>
      <c r="N41" s="16"/>
      <c r="O41" s="16"/>
      <c r="P41" s="16"/>
      <c r="Q41" s="16"/>
      <c r="R41" s="16"/>
    </row>
    <row r="42" ht="15.75" customHeight="1">
      <c r="A42" s="16"/>
      <c r="B42" s="16"/>
      <c r="C42" s="16"/>
      <c r="D42" s="16"/>
      <c r="E42" s="16"/>
      <c r="F42" s="16"/>
      <c r="G42" s="16"/>
      <c r="H42" s="16"/>
      <c r="I42" s="16"/>
      <c r="J42" s="16"/>
      <c r="K42" s="16"/>
      <c r="L42" s="16"/>
      <c r="M42" s="16"/>
      <c r="N42" s="16"/>
      <c r="O42" s="16"/>
      <c r="P42" s="16"/>
      <c r="Q42" s="16"/>
      <c r="R42" s="16"/>
    </row>
    <row r="43" ht="15.75" customHeight="1">
      <c r="A43" s="16"/>
      <c r="B43" s="16"/>
      <c r="C43" s="16"/>
      <c r="D43" s="16"/>
      <c r="E43" s="16"/>
      <c r="F43" s="16"/>
      <c r="G43" s="16"/>
      <c r="H43" s="16"/>
      <c r="I43" s="16"/>
      <c r="J43" s="16"/>
      <c r="K43" s="16"/>
      <c r="L43" s="16"/>
      <c r="M43" s="16"/>
      <c r="N43" s="16"/>
      <c r="O43" s="16"/>
      <c r="P43" s="16"/>
      <c r="Q43" s="16"/>
      <c r="R43" s="16"/>
    </row>
    <row r="44" ht="15.75" customHeight="1">
      <c r="A44" s="16"/>
      <c r="B44" s="16"/>
      <c r="C44" s="16"/>
      <c r="D44" s="16"/>
      <c r="E44" s="16"/>
      <c r="F44" s="16"/>
      <c r="G44" s="16"/>
      <c r="H44" s="16"/>
      <c r="I44" s="16"/>
      <c r="J44" s="16"/>
      <c r="K44" s="16"/>
      <c r="L44" s="16"/>
      <c r="M44" s="16"/>
      <c r="N44" s="16"/>
      <c r="O44" s="16"/>
      <c r="P44" s="16"/>
      <c r="Q44" s="16"/>
      <c r="R44" s="16"/>
    </row>
    <row r="45" ht="15.75" customHeight="1">
      <c r="A45" s="16"/>
      <c r="B45" s="16"/>
      <c r="C45" s="16"/>
      <c r="D45" s="16"/>
      <c r="E45" s="16"/>
      <c r="F45" s="16"/>
      <c r="G45" s="16"/>
      <c r="H45" s="16"/>
      <c r="I45" s="16"/>
      <c r="J45" s="16"/>
      <c r="K45" s="16"/>
      <c r="L45" s="16"/>
      <c r="M45" s="16"/>
      <c r="N45" s="16"/>
      <c r="O45" s="16"/>
      <c r="P45" s="16"/>
      <c r="Q45" s="16"/>
      <c r="R45" s="16"/>
    </row>
    <row r="46" ht="15.75" customHeight="1">
      <c r="A46" s="16"/>
      <c r="B46" s="16"/>
      <c r="C46" s="16"/>
      <c r="D46" s="16"/>
      <c r="E46" s="16"/>
      <c r="F46" s="16"/>
      <c r="G46" s="16"/>
      <c r="H46" s="16"/>
      <c r="I46" s="16"/>
      <c r="J46" s="16"/>
      <c r="K46" s="16"/>
      <c r="L46" s="16"/>
      <c r="M46" s="16"/>
      <c r="N46" s="16"/>
      <c r="O46" s="16"/>
      <c r="P46" s="16"/>
      <c r="Q46" s="16"/>
      <c r="R46" s="16"/>
    </row>
    <row r="47" ht="15.75" customHeight="1">
      <c r="A47" s="16"/>
      <c r="B47" s="16"/>
      <c r="C47" s="16"/>
      <c r="D47" s="16"/>
      <c r="E47" s="16"/>
      <c r="F47" s="16"/>
      <c r="G47" s="16"/>
      <c r="H47" s="16"/>
      <c r="I47" s="16"/>
      <c r="J47" s="16"/>
      <c r="K47" s="16"/>
      <c r="L47" s="16"/>
      <c r="M47" s="16"/>
      <c r="N47" s="16"/>
      <c r="O47" s="16"/>
      <c r="P47" s="16"/>
      <c r="Q47" s="16"/>
      <c r="R47" s="16"/>
    </row>
    <row r="48" ht="15.75" customHeight="1">
      <c r="A48" s="16"/>
      <c r="B48" s="16"/>
      <c r="C48" s="16"/>
      <c r="D48" s="16"/>
      <c r="E48" s="16"/>
      <c r="F48" s="16"/>
      <c r="G48" s="16"/>
      <c r="H48" s="16"/>
      <c r="I48" s="16"/>
      <c r="J48" s="16"/>
      <c r="K48" s="16"/>
      <c r="L48" s="16"/>
      <c r="M48" s="16"/>
      <c r="N48" s="16"/>
      <c r="O48" s="16"/>
      <c r="P48" s="16"/>
      <c r="Q48" s="16"/>
      <c r="R48" s="16"/>
    </row>
    <row r="49" ht="15.75" customHeight="1">
      <c r="A49" s="16"/>
      <c r="B49" s="16"/>
      <c r="C49" s="16"/>
      <c r="D49" s="16"/>
      <c r="E49" s="16"/>
      <c r="F49" s="16"/>
      <c r="G49" s="16"/>
      <c r="H49" s="16"/>
      <c r="I49" s="16"/>
      <c r="J49" s="16"/>
      <c r="K49" s="16"/>
      <c r="L49" s="16"/>
      <c r="M49" s="16"/>
      <c r="N49" s="16"/>
      <c r="O49" s="16"/>
      <c r="P49" s="16"/>
      <c r="Q49" s="16"/>
      <c r="R49" s="16"/>
    </row>
    <row r="50" ht="15.75" customHeight="1">
      <c r="A50" s="16"/>
      <c r="B50" s="16"/>
      <c r="C50" s="16"/>
      <c r="D50" s="16"/>
      <c r="E50" s="16"/>
      <c r="F50" s="16"/>
      <c r="G50" s="16"/>
      <c r="H50" s="16"/>
      <c r="I50" s="16"/>
      <c r="J50" s="16"/>
      <c r="K50" s="16"/>
      <c r="L50" s="16"/>
      <c r="M50" s="16"/>
      <c r="N50" s="16"/>
      <c r="O50" s="16"/>
      <c r="P50" s="16"/>
      <c r="Q50" s="16"/>
      <c r="R50" s="16"/>
    </row>
    <row r="51" ht="15.75" customHeight="1">
      <c r="A51" s="16"/>
      <c r="B51" s="16"/>
      <c r="C51" s="16"/>
      <c r="D51" s="16"/>
      <c r="E51" s="16"/>
      <c r="F51" s="16"/>
      <c r="G51" s="16"/>
      <c r="H51" s="16"/>
      <c r="I51" s="16"/>
      <c r="J51" s="16"/>
      <c r="K51" s="16"/>
      <c r="L51" s="16"/>
      <c r="M51" s="16"/>
      <c r="N51" s="16"/>
      <c r="O51" s="16"/>
      <c r="P51" s="16"/>
      <c r="Q51" s="16"/>
      <c r="R51" s="16"/>
    </row>
    <row r="52" ht="15.75" customHeight="1">
      <c r="A52" s="16"/>
      <c r="B52" s="16"/>
      <c r="C52" s="16"/>
      <c r="D52" s="16"/>
      <c r="E52" s="16"/>
      <c r="F52" s="16"/>
      <c r="G52" s="16"/>
      <c r="H52" s="16"/>
      <c r="I52" s="16"/>
      <c r="J52" s="16"/>
      <c r="K52" s="16"/>
      <c r="L52" s="16"/>
      <c r="M52" s="16"/>
      <c r="N52" s="16"/>
      <c r="O52" s="16"/>
      <c r="P52" s="16"/>
      <c r="Q52" s="16"/>
      <c r="R52" s="16"/>
    </row>
    <row r="53" ht="15.75" customHeight="1">
      <c r="A53" s="16"/>
      <c r="B53" s="16"/>
      <c r="C53" s="16"/>
      <c r="D53" s="16"/>
      <c r="E53" s="16"/>
      <c r="F53" s="16"/>
      <c r="G53" s="16"/>
      <c r="H53" s="16"/>
      <c r="I53" s="16"/>
      <c r="J53" s="16"/>
      <c r="K53" s="16"/>
      <c r="L53" s="16"/>
      <c r="M53" s="16"/>
      <c r="N53" s="16"/>
      <c r="O53" s="16"/>
      <c r="P53" s="16"/>
      <c r="Q53" s="16"/>
      <c r="R53" s="16"/>
    </row>
    <row r="54" ht="15.75" customHeight="1">
      <c r="A54" s="16"/>
      <c r="B54" s="16"/>
      <c r="C54" s="16"/>
      <c r="D54" s="16"/>
      <c r="E54" s="16"/>
      <c r="F54" s="16"/>
      <c r="G54" s="16"/>
      <c r="H54" s="16"/>
      <c r="I54" s="16"/>
      <c r="J54" s="16"/>
      <c r="K54" s="16"/>
      <c r="L54" s="16"/>
      <c r="M54" s="16"/>
      <c r="N54" s="16"/>
      <c r="O54" s="16"/>
      <c r="P54" s="16"/>
      <c r="Q54" s="16"/>
      <c r="R54" s="16"/>
    </row>
    <row r="55" ht="15.75" customHeight="1">
      <c r="A55" s="16"/>
      <c r="B55" s="16"/>
      <c r="C55" s="16"/>
      <c r="D55" s="16"/>
      <c r="E55" s="16"/>
      <c r="F55" s="16"/>
      <c r="G55" s="16"/>
      <c r="H55" s="16"/>
      <c r="I55" s="16"/>
      <c r="J55" s="16"/>
      <c r="K55" s="16"/>
      <c r="L55" s="16"/>
      <c r="M55" s="16"/>
      <c r="N55" s="16"/>
      <c r="O55" s="16"/>
      <c r="P55" s="16"/>
      <c r="Q55" s="16"/>
      <c r="R55" s="16"/>
    </row>
    <row r="56" ht="15.75" customHeight="1">
      <c r="A56" s="16"/>
      <c r="B56" s="16"/>
      <c r="C56" s="16"/>
      <c r="D56" s="16"/>
      <c r="E56" s="16"/>
      <c r="F56" s="16"/>
      <c r="G56" s="16"/>
      <c r="H56" s="16"/>
      <c r="I56" s="16"/>
      <c r="J56" s="16"/>
      <c r="K56" s="16"/>
      <c r="L56" s="16"/>
      <c r="M56" s="16"/>
      <c r="N56" s="16"/>
      <c r="O56" s="16"/>
      <c r="P56" s="16"/>
      <c r="Q56" s="16"/>
      <c r="R56" s="16"/>
    </row>
    <row r="57" ht="15.75" customHeight="1">
      <c r="A57" s="16"/>
      <c r="B57" s="16"/>
      <c r="C57" s="16"/>
      <c r="D57" s="16"/>
      <c r="E57" s="16"/>
      <c r="F57" s="16"/>
      <c r="G57" s="16"/>
      <c r="H57" s="16"/>
      <c r="I57" s="16"/>
      <c r="J57" s="16"/>
      <c r="K57" s="16"/>
      <c r="L57" s="16"/>
      <c r="M57" s="16"/>
      <c r="N57" s="16"/>
      <c r="O57" s="16"/>
      <c r="P57" s="16"/>
      <c r="Q57" s="16"/>
      <c r="R57" s="16"/>
    </row>
    <row r="58" ht="15.75" customHeight="1">
      <c r="A58" s="16"/>
      <c r="B58" s="16"/>
      <c r="C58" s="16"/>
      <c r="D58" s="16"/>
      <c r="E58" s="16"/>
      <c r="F58" s="16"/>
      <c r="G58" s="16"/>
      <c r="H58" s="16"/>
      <c r="I58" s="16"/>
      <c r="J58" s="16"/>
      <c r="K58" s="16"/>
      <c r="L58" s="16"/>
      <c r="M58" s="16"/>
      <c r="N58" s="16"/>
      <c r="O58" s="16"/>
      <c r="P58" s="16"/>
      <c r="Q58" s="16"/>
      <c r="R58" s="16"/>
    </row>
    <row r="59" ht="15.75" customHeight="1">
      <c r="A59" s="16"/>
      <c r="B59" s="16"/>
      <c r="C59" s="16"/>
      <c r="D59" s="16"/>
      <c r="E59" s="16"/>
      <c r="F59" s="16"/>
      <c r="G59" s="16"/>
      <c r="H59" s="16"/>
      <c r="I59" s="16"/>
      <c r="J59" s="16"/>
      <c r="K59" s="16"/>
      <c r="L59" s="16"/>
      <c r="M59" s="16"/>
      <c r="N59" s="16"/>
      <c r="O59" s="16"/>
      <c r="P59" s="16"/>
      <c r="Q59" s="16"/>
      <c r="R59" s="16"/>
    </row>
    <row r="60" ht="15.75" customHeight="1">
      <c r="A60" s="16"/>
      <c r="B60" s="16"/>
      <c r="C60" s="16"/>
      <c r="D60" s="16"/>
      <c r="E60" s="16"/>
      <c r="F60" s="16"/>
      <c r="G60" s="16"/>
      <c r="H60" s="16"/>
      <c r="I60" s="16"/>
      <c r="J60" s="16"/>
      <c r="K60" s="16"/>
      <c r="L60" s="16"/>
      <c r="M60" s="16"/>
      <c r="N60" s="16"/>
      <c r="O60" s="16"/>
      <c r="P60" s="16"/>
      <c r="Q60" s="16"/>
      <c r="R60" s="16"/>
    </row>
    <row r="61" ht="15.75" customHeight="1">
      <c r="A61" s="16"/>
      <c r="B61" s="16"/>
      <c r="C61" s="16"/>
      <c r="D61" s="16"/>
      <c r="E61" s="16"/>
      <c r="F61" s="16"/>
      <c r="G61" s="16"/>
      <c r="H61" s="16"/>
      <c r="I61" s="16"/>
      <c r="J61" s="16"/>
      <c r="K61" s="16"/>
      <c r="L61" s="16"/>
      <c r="M61" s="16"/>
      <c r="N61" s="16"/>
      <c r="O61" s="16"/>
      <c r="P61" s="16"/>
      <c r="Q61" s="16"/>
      <c r="R61" s="16"/>
    </row>
    <row r="62" ht="15.75" customHeight="1">
      <c r="A62" s="16"/>
      <c r="B62" s="16"/>
      <c r="C62" s="16"/>
      <c r="D62" s="16"/>
      <c r="E62" s="16"/>
      <c r="F62" s="16"/>
      <c r="G62" s="16"/>
      <c r="H62" s="16"/>
      <c r="I62" s="16"/>
      <c r="J62" s="16"/>
      <c r="K62" s="16"/>
      <c r="L62" s="16"/>
      <c r="M62" s="16"/>
      <c r="N62" s="16"/>
      <c r="O62" s="16"/>
      <c r="P62" s="16"/>
      <c r="Q62" s="16"/>
      <c r="R62" s="16"/>
    </row>
    <row r="63" ht="15.75" customHeight="1">
      <c r="A63" s="16"/>
      <c r="B63" s="16"/>
      <c r="C63" s="16"/>
      <c r="D63" s="16"/>
      <c r="E63" s="16"/>
      <c r="F63" s="16"/>
      <c r="G63" s="16"/>
      <c r="H63" s="16"/>
      <c r="I63" s="16"/>
      <c r="J63" s="16"/>
      <c r="K63" s="16"/>
      <c r="L63" s="16"/>
      <c r="M63" s="16"/>
      <c r="N63" s="16"/>
      <c r="O63" s="16"/>
      <c r="P63" s="16"/>
      <c r="Q63" s="16"/>
      <c r="R63" s="16"/>
    </row>
    <row r="64" ht="15.75" customHeight="1">
      <c r="A64" s="16"/>
      <c r="B64" s="16"/>
      <c r="C64" s="16"/>
      <c r="D64" s="16"/>
      <c r="E64" s="16"/>
      <c r="F64" s="16"/>
      <c r="G64" s="16"/>
      <c r="H64" s="16"/>
      <c r="I64" s="16"/>
      <c r="J64" s="16"/>
      <c r="K64" s="16"/>
      <c r="L64" s="16"/>
      <c r="M64" s="16"/>
      <c r="N64" s="16"/>
      <c r="O64" s="16"/>
      <c r="P64" s="16"/>
      <c r="Q64" s="16"/>
      <c r="R64" s="16"/>
    </row>
    <row r="65" ht="15.75" customHeight="1">
      <c r="A65" s="16"/>
      <c r="B65" s="16"/>
      <c r="C65" s="16"/>
      <c r="D65" s="16"/>
      <c r="E65" s="16"/>
      <c r="F65" s="16"/>
      <c r="G65" s="16"/>
      <c r="H65" s="16"/>
      <c r="I65" s="16"/>
      <c r="J65" s="16"/>
      <c r="K65" s="16"/>
      <c r="L65" s="16"/>
      <c r="M65" s="16"/>
      <c r="N65" s="16"/>
      <c r="O65" s="16"/>
      <c r="P65" s="16"/>
      <c r="Q65" s="16"/>
      <c r="R65" s="16"/>
    </row>
    <row r="66" ht="15.75" customHeight="1">
      <c r="A66" s="16"/>
      <c r="B66" s="16"/>
      <c r="C66" s="16"/>
      <c r="D66" s="16"/>
      <c r="E66" s="16"/>
      <c r="F66" s="16"/>
      <c r="G66" s="16"/>
      <c r="H66" s="16"/>
      <c r="I66" s="16"/>
      <c r="J66" s="16"/>
      <c r="K66" s="16"/>
      <c r="L66" s="16"/>
      <c r="M66" s="16"/>
      <c r="N66" s="16"/>
      <c r="O66" s="16"/>
      <c r="P66" s="16"/>
      <c r="Q66" s="16"/>
      <c r="R66" s="16"/>
    </row>
    <row r="67" ht="15.75" customHeight="1">
      <c r="A67" s="16"/>
      <c r="B67" s="16"/>
      <c r="C67" s="16"/>
      <c r="D67" s="16"/>
      <c r="E67" s="16"/>
      <c r="F67" s="16"/>
      <c r="G67" s="16"/>
      <c r="H67" s="16"/>
      <c r="I67" s="16"/>
      <c r="J67" s="16"/>
      <c r="K67" s="16"/>
      <c r="L67" s="16"/>
      <c r="M67" s="16"/>
      <c r="N67" s="16"/>
      <c r="O67" s="16"/>
      <c r="P67" s="16"/>
      <c r="Q67" s="16"/>
      <c r="R67" s="16"/>
    </row>
    <row r="68" ht="15.75" customHeight="1">
      <c r="A68" s="16"/>
      <c r="B68" s="16"/>
      <c r="C68" s="16"/>
      <c r="D68" s="16"/>
      <c r="E68" s="16"/>
      <c r="F68" s="16"/>
      <c r="G68" s="16"/>
      <c r="H68" s="16"/>
      <c r="I68" s="16"/>
      <c r="J68" s="16"/>
      <c r="K68" s="16"/>
      <c r="L68" s="16"/>
      <c r="M68" s="16"/>
      <c r="N68" s="16"/>
      <c r="O68" s="16"/>
      <c r="P68" s="16"/>
      <c r="Q68" s="16"/>
      <c r="R68" s="16"/>
    </row>
    <row r="69" ht="15.75" customHeight="1">
      <c r="A69" s="16"/>
      <c r="B69" s="16"/>
      <c r="C69" s="16"/>
      <c r="D69" s="16"/>
      <c r="E69" s="16"/>
      <c r="F69" s="16"/>
      <c r="G69" s="16"/>
      <c r="H69" s="16"/>
      <c r="I69" s="16"/>
      <c r="J69" s="16"/>
      <c r="K69" s="16"/>
      <c r="L69" s="16"/>
      <c r="M69" s="16"/>
      <c r="N69" s="16"/>
      <c r="O69" s="16"/>
      <c r="P69" s="16"/>
      <c r="Q69" s="16"/>
      <c r="R69" s="16"/>
    </row>
    <row r="70" ht="15.75" customHeight="1">
      <c r="A70" s="16"/>
      <c r="B70" s="16"/>
      <c r="C70" s="16"/>
      <c r="D70" s="16"/>
      <c r="E70" s="16"/>
      <c r="F70" s="16"/>
      <c r="G70" s="16"/>
      <c r="H70" s="16"/>
      <c r="I70" s="16"/>
      <c r="J70" s="16"/>
      <c r="K70" s="16"/>
      <c r="L70" s="16"/>
      <c r="M70" s="16"/>
      <c r="N70" s="16"/>
      <c r="O70" s="16"/>
      <c r="P70" s="16"/>
      <c r="Q70" s="16"/>
      <c r="R70" s="16"/>
    </row>
    <row r="71" ht="15.75" customHeight="1">
      <c r="A71" s="16"/>
      <c r="B71" s="16"/>
      <c r="C71" s="16"/>
      <c r="D71" s="16"/>
      <c r="E71" s="16"/>
      <c r="F71" s="16"/>
      <c r="G71" s="16"/>
      <c r="H71" s="16"/>
      <c r="I71" s="16"/>
      <c r="J71" s="16"/>
      <c r="K71" s="16"/>
      <c r="L71" s="16"/>
      <c r="M71" s="16"/>
      <c r="N71" s="16"/>
      <c r="O71" s="16"/>
      <c r="P71" s="16"/>
      <c r="Q71" s="16"/>
      <c r="R71" s="16"/>
    </row>
    <row r="72" ht="15.75" customHeight="1">
      <c r="A72" s="16"/>
      <c r="B72" s="16"/>
      <c r="C72" s="16"/>
      <c r="D72" s="16"/>
      <c r="E72" s="16"/>
      <c r="F72" s="16"/>
      <c r="G72" s="16"/>
      <c r="H72" s="16"/>
      <c r="I72" s="16"/>
      <c r="J72" s="16"/>
      <c r="K72" s="16"/>
      <c r="L72" s="16"/>
      <c r="M72" s="16"/>
      <c r="N72" s="16"/>
      <c r="O72" s="16"/>
      <c r="P72" s="16"/>
      <c r="Q72" s="16"/>
      <c r="R72" s="16"/>
    </row>
    <row r="73" ht="15.75" customHeight="1">
      <c r="A73" s="16"/>
      <c r="B73" s="16"/>
      <c r="C73" s="16"/>
      <c r="D73" s="16"/>
      <c r="E73" s="16"/>
      <c r="F73" s="16"/>
      <c r="G73" s="16"/>
      <c r="H73" s="16"/>
      <c r="I73" s="16"/>
      <c r="J73" s="16"/>
      <c r="K73" s="16"/>
      <c r="L73" s="16"/>
      <c r="M73" s="16"/>
      <c r="N73" s="16"/>
      <c r="O73" s="16"/>
      <c r="P73" s="16"/>
      <c r="Q73" s="16"/>
      <c r="R73" s="16"/>
    </row>
    <row r="74" ht="15.75" customHeight="1">
      <c r="A74" s="16"/>
      <c r="B74" s="16"/>
      <c r="C74" s="16"/>
      <c r="D74" s="16"/>
      <c r="E74" s="16"/>
      <c r="F74" s="16"/>
      <c r="G74" s="16"/>
      <c r="H74" s="16"/>
      <c r="I74" s="16"/>
      <c r="J74" s="16"/>
      <c r="K74" s="16"/>
      <c r="L74" s="16"/>
      <c r="M74" s="16"/>
      <c r="N74" s="16"/>
      <c r="O74" s="16"/>
      <c r="P74" s="16"/>
      <c r="Q74" s="16"/>
      <c r="R74" s="16"/>
    </row>
    <row r="75" ht="15.75" customHeight="1">
      <c r="A75" s="16"/>
      <c r="B75" s="16"/>
      <c r="C75" s="16"/>
      <c r="D75" s="16"/>
      <c r="E75" s="16"/>
      <c r="F75" s="16"/>
      <c r="G75" s="16"/>
      <c r="H75" s="16"/>
      <c r="I75" s="16"/>
      <c r="J75" s="16"/>
      <c r="K75" s="16"/>
      <c r="L75" s="16"/>
      <c r="M75" s="16"/>
      <c r="N75" s="16"/>
      <c r="O75" s="16"/>
      <c r="P75" s="16"/>
      <c r="Q75" s="16"/>
      <c r="R75" s="16"/>
    </row>
    <row r="76" ht="15.75" customHeight="1">
      <c r="A76" s="16"/>
      <c r="B76" s="16"/>
      <c r="C76" s="16"/>
      <c r="D76" s="16"/>
      <c r="E76" s="16"/>
      <c r="F76" s="16"/>
      <c r="G76" s="16"/>
      <c r="H76" s="16"/>
      <c r="I76" s="16"/>
      <c r="J76" s="16"/>
      <c r="K76" s="16"/>
      <c r="L76" s="16"/>
      <c r="M76" s="16"/>
      <c r="N76" s="16"/>
      <c r="O76" s="16"/>
      <c r="P76" s="16"/>
      <c r="Q76" s="16"/>
      <c r="R76" s="16"/>
    </row>
    <row r="77" ht="15.75" customHeight="1">
      <c r="A77" s="16"/>
      <c r="B77" s="16"/>
      <c r="C77" s="16"/>
      <c r="D77" s="16"/>
      <c r="E77" s="16"/>
      <c r="F77" s="16"/>
      <c r="G77" s="16"/>
      <c r="H77" s="16"/>
      <c r="I77" s="16"/>
      <c r="J77" s="16"/>
      <c r="K77" s="16"/>
      <c r="L77" s="16"/>
      <c r="M77" s="16"/>
      <c r="N77" s="16"/>
      <c r="O77" s="16"/>
      <c r="P77" s="16"/>
      <c r="Q77" s="16"/>
      <c r="R77" s="16"/>
    </row>
    <row r="78" ht="15.75" customHeight="1">
      <c r="A78" s="16"/>
      <c r="B78" s="16"/>
      <c r="C78" s="16"/>
      <c r="D78" s="16"/>
      <c r="E78" s="16"/>
      <c r="F78" s="16"/>
      <c r="G78" s="16"/>
      <c r="H78" s="16"/>
      <c r="I78" s="16"/>
      <c r="J78" s="16"/>
      <c r="K78" s="16"/>
      <c r="L78" s="16"/>
      <c r="M78" s="16"/>
      <c r="N78" s="16"/>
      <c r="O78" s="16"/>
      <c r="P78" s="16"/>
      <c r="Q78" s="16"/>
      <c r="R78" s="16"/>
    </row>
    <row r="79" ht="15.75" customHeight="1">
      <c r="A79" s="16"/>
      <c r="B79" s="16"/>
      <c r="C79" s="16"/>
      <c r="D79" s="16"/>
      <c r="E79" s="16"/>
      <c r="F79" s="16"/>
      <c r="G79" s="16"/>
      <c r="H79" s="16"/>
      <c r="I79" s="16"/>
      <c r="J79" s="16"/>
      <c r="K79" s="16"/>
      <c r="L79" s="16"/>
      <c r="M79" s="16"/>
      <c r="N79" s="16"/>
      <c r="O79" s="16"/>
      <c r="P79" s="16"/>
      <c r="Q79" s="16"/>
      <c r="R79" s="16"/>
    </row>
    <row r="80" ht="15.75" customHeight="1">
      <c r="A80" s="16"/>
      <c r="B80" s="16"/>
      <c r="C80" s="16"/>
      <c r="D80" s="16"/>
      <c r="E80" s="16"/>
      <c r="F80" s="16"/>
      <c r="G80" s="16"/>
      <c r="H80" s="16"/>
      <c r="I80" s="16"/>
      <c r="J80" s="16"/>
      <c r="K80" s="16"/>
      <c r="L80" s="16"/>
      <c r="M80" s="16"/>
      <c r="N80" s="16"/>
      <c r="O80" s="16"/>
      <c r="P80" s="16"/>
      <c r="Q80" s="16"/>
      <c r="R80" s="16"/>
    </row>
    <row r="81" ht="15.75" customHeight="1">
      <c r="A81" s="16"/>
      <c r="B81" s="16"/>
      <c r="C81" s="16"/>
      <c r="D81" s="16"/>
      <c r="E81" s="16"/>
      <c r="F81" s="16"/>
      <c r="G81" s="16"/>
      <c r="H81" s="16"/>
      <c r="I81" s="16"/>
      <c r="J81" s="16"/>
      <c r="K81" s="16"/>
      <c r="L81" s="16"/>
      <c r="M81" s="16"/>
      <c r="N81" s="16"/>
      <c r="O81" s="16"/>
      <c r="P81" s="16"/>
      <c r="Q81" s="16"/>
      <c r="R81" s="16"/>
    </row>
    <row r="82" ht="15.75" customHeight="1">
      <c r="A82" s="16"/>
      <c r="B82" s="16"/>
      <c r="C82" s="16"/>
      <c r="D82" s="16"/>
      <c r="E82" s="16"/>
      <c r="F82" s="16"/>
      <c r="G82" s="16"/>
      <c r="H82" s="16"/>
      <c r="I82" s="16"/>
      <c r="J82" s="16"/>
      <c r="K82" s="16"/>
      <c r="L82" s="16"/>
      <c r="M82" s="16"/>
      <c r="N82" s="16"/>
      <c r="O82" s="16"/>
      <c r="P82" s="16"/>
      <c r="Q82" s="16"/>
      <c r="R82" s="16"/>
    </row>
    <row r="83" ht="15.75" customHeight="1">
      <c r="A83" s="16"/>
      <c r="B83" s="16"/>
      <c r="C83" s="16"/>
      <c r="D83" s="16"/>
      <c r="E83" s="16"/>
      <c r="F83" s="16"/>
      <c r="G83" s="16"/>
      <c r="H83" s="16"/>
      <c r="I83" s="16"/>
      <c r="J83" s="16"/>
      <c r="K83" s="16"/>
      <c r="L83" s="16"/>
      <c r="M83" s="16"/>
      <c r="N83" s="16"/>
      <c r="O83" s="16"/>
      <c r="P83" s="16"/>
      <c r="Q83" s="16"/>
      <c r="R83" s="16"/>
    </row>
    <row r="84" ht="15.75" customHeight="1">
      <c r="A84" s="16"/>
      <c r="B84" s="16"/>
      <c r="C84" s="16"/>
      <c r="D84" s="16"/>
      <c r="E84" s="16"/>
      <c r="F84" s="16"/>
      <c r="G84" s="16"/>
      <c r="H84" s="16"/>
      <c r="I84" s="16"/>
      <c r="J84" s="16"/>
      <c r="K84" s="16"/>
      <c r="L84" s="16"/>
      <c r="M84" s="16"/>
      <c r="N84" s="16"/>
      <c r="O84" s="16"/>
      <c r="P84" s="16"/>
      <c r="Q84" s="16"/>
      <c r="R84" s="16"/>
    </row>
    <row r="85" ht="15.75" customHeight="1">
      <c r="A85" s="16"/>
      <c r="B85" s="16"/>
      <c r="C85" s="16"/>
      <c r="D85" s="16"/>
      <c r="E85" s="16"/>
      <c r="F85" s="16"/>
      <c r="G85" s="16"/>
      <c r="H85" s="16"/>
      <c r="I85" s="16"/>
      <c r="J85" s="16"/>
      <c r="K85" s="16"/>
      <c r="L85" s="16"/>
      <c r="M85" s="16"/>
      <c r="N85" s="16"/>
      <c r="O85" s="16"/>
      <c r="P85" s="16"/>
      <c r="Q85" s="16"/>
      <c r="R85" s="16"/>
    </row>
    <row r="86" ht="15.75" customHeight="1">
      <c r="A86" s="16"/>
      <c r="B86" s="16"/>
      <c r="C86" s="16"/>
      <c r="D86" s="16"/>
      <c r="E86" s="16"/>
      <c r="F86" s="16"/>
      <c r="G86" s="16"/>
      <c r="H86" s="16"/>
      <c r="I86" s="16"/>
      <c r="J86" s="16"/>
      <c r="K86" s="16"/>
      <c r="L86" s="16"/>
      <c r="M86" s="16"/>
      <c r="N86" s="16"/>
      <c r="O86" s="16"/>
      <c r="P86" s="16"/>
      <c r="Q86" s="16"/>
      <c r="R86" s="16"/>
    </row>
    <row r="87" ht="15.75" customHeight="1">
      <c r="A87" s="16"/>
      <c r="B87" s="16"/>
      <c r="C87" s="16"/>
      <c r="D87" s="16"/>
      <c r="E87" s="16"/>
      <c r="F87" s="16"/>
      <c r="G87" s="16"/>
      <c r="H87" s="16"/>
      <c r="I87" s="16"/>
      <c r="J87" s="16"/>
      <c r="K87" s="16"/>
      <c r="L87" s="16"/>
      <c r="M87" s="16"/>
      <c r="N87" s="16"/>
      <c r="O87" s="16"/>
      <c r="P87" s="16"/>
      <c r="Q87" s="16"/>
      <c r="R87" s="16"/>
    </row>
    <row r="88" ht="15.75" customHeight="1">
      <c r="A88" s="16"/>
      <c r="B88" s="16"/>
      <c r="C88" s="16"/>
      <c r="D88" s="16"/>
      <c r="E88" s="16"/>
      <c r="F88" s="16"/>
      <c r="G88" s="16"/>
      <c r="H88" s="16"/>
      <c r="I88" s="16"/>
      <c r="J88" s="16"/>
      <c r="K88" s="16"/>
      <c r="L88" s="16"/>
      <c r="M88" s="16"/>
      <c r="N88" s="16"/>
      <c r="O88" s="16"/>
      <c r="P88" s="16"/>
      <c r="Q88" s="16"/>
      <c r="R88" s="16"/>
    </row>
    <row r="89" ht="15.75" customHeight="1">
      <c r="A89" s="16"/>
      <c r="B89" s="16"/>
      <c r="C89" s="16"/>
      <c r="D89" s="16"/>
      <c r="E89" s="16"/>
      <c r="F89" s="16"/>
      <c r="G89" s="16"/>
      <c r="H89" s="16"/>
      <c r="I89" s="16"/>
      <c r="J89" s="16"/>
      <c r="K89" s="16"/>
      <c r="L89" s="16"/>
      <c r="M89" s="16"/>
      <c r="N89" s="16"/>
      <c r="O89" s="16"/>
      <c r="P89" s="16"/>
      <c r="Q89" s="16"/>
      <c r="R89" s="16"/>
    </row>
    <row r="90" ht="15.75" customHeight="1">
      <c r="A90" s="16"/>
      <c r="B90" s="16"/>
      <c r="C90" s="16"/>
      <c r="D90" s="16"/>
      <c r="E90" s="16"/>
      <c r="F90" s="16"/>
      <c r="G90" s="16"/>
      <c r="H90" s="16"/>
      <c r="I90" s="16"/>
      <c r="J90" s="16"/>
      <c r="K90" s="16"/>
      <c r="L90" s="16"/>
      <c r="M90" s="16"/>
      <c r="N90" s="16"/>
      <c r="O90" s="16"/>
      <c r="P90" s="16"/>
      <c r="Q90" s="16"/>
      <c r="R90" s="16"/>
    </row>
    <row r="91" ht="15.75" customHeight="1">
      <c r="A91" s="16"/>
      <c r="B91" s="16"/>
      <c r="C91" s="16"/>
      <c r="D91" s="16"/>
      <c r="E91" s="16"/>
      <c r="F91" s="16"/>
      <c r="G91" s="16"/>
      <c r="H91" s="16"/>
      <c r="I91" s="16"/>
      <c r="J91" s="16"/>
      <c r="K91" s="16"/>
      <c r="L91" s="16"/>
      <c r="M91" s="16"/>
      <c r="N91" s="16"/>
      <c r="O91" s="16"/>
      <c r="P91" s="16"/>
      <c r="Q91" s="16"/>
      <c r="R91" s="16"/>
    </row>
    <row r="92" ht="15.75" customHeight="1">
      <c r="A92" s="16"/>
      <c r="B92" s="16"/>
      <c r="C92" s="16"/>
      <c r="D92" s="16"/>
      <c r="E92" s="16"/>
      <c r="F92" s="16"/>
      <c r="G92" s="16"/>
      <c r="H92" s="16"/>
      <c r="I92" s="16"/>
      <c r="J92" s="16"/>
      <c r="K92" s="16"/>
      <c r="L92" s="16"/>
      <c r="M92" s="16"/>
      <c r="N92" s="16"/>
      <c r="O92" s="16"/>
      <c r="P92" s="16"/>
      <c r="Q92" s="16"/>
      <c r="R92" s="16"/>
    </row>
    <row r="93" ht="15.75" customHeight="1">
      <c r="A93" s="16"/>
      <c r="B93" s="16"/>
      <c r="C93" s="16"/>
      <c r="D93" s="16"/>
      <c r="E93" s="16"/>
      <c r="F93" s="16"/>
      <c r="G93" s="16"/>
      <c r="H93" s="16"/>
      <c r="I93" s="16"/>
      <c r="J93" s="16"/>
      <c r="K93" s="16"/>
      <c r="L93" s="16"/>
      <c r="M93" s="16"/>
      <c r="N93" s="16"/>
      <c r="O93" s="16"/>
      <c r="P93" s="16"/>
      <c r="Q93" s="16"/>
      <c r="R93" s="16"/>
    </row>
    <row r="94" ht="15.75" customHeight="1">
      <c r="A94" s="16"/>
      <c r="B94" s="16"/>
      <c r="C94" s="16"/>
      <c r="D94" s="16"/>
      <c r="E94" s="16"/>
      <c r="F94" s="16"/>
      <c r="G94" s="16"/>
      <c r="H94" s="16"/>
      <c r="I94" s="16"/>
      <c r="J94" s="16"/>
      <c r="K94" s="16"/>
      <c r="L94" s="16"/>
      <c r="M94" s="16"/>
      <c r="N94" s="16"/>
      <c r="O94" s="16"/>
      <c r="P94" s="16"/>
      <c r="Q94" s="16"/>
      <c r="R94" s="16"/>
    </row>
    <row r="95" ht="15.75" customHeight="1">
      <c r="A95" s="16"/>
      <c r="B95" s="16"/>
      <c r="C95" s="16"/>
      <c r="D95" s="16"/>
      <c r="E95" s="16"/>
      <c r="F95" s="16"/>
      <c r="G95" s="16"/>
      <c r="H95" s="16"/>
      <c r="I95" s="16"/>
      <c r="J95" s="16"/>
      <c r="K95" s="16"/>
      <c r="L95" s="16"/>
      <c r="M95" s="16"/>
      <c r="N95" s="16"/>
      <c r="O95" s="16"/>
      <c r="P95" s="16"/>
      <c r="Q95" s="16"/>
      <c r="R95" s="16"/>
    </row>
    <row r="96" ht="15.75" customHeight="1">
      <c r="A96" s="16"/>
      <c r="B96" s="16"/>
      <c r="C96" s="16"/>
      <c r="D96" s="16"/>
      <c r="E96" s="16"/>
      <c r="F96" s="16"/>
      <c r="G96" s="16"/>
      <c r="H96" s="16"/>
      <c r="I96" s="16"/>
      <c r="J96" s="16"/>
      <c r="K96" s="16"/>
      <c r="L96" s="16"/>
      <c r="M96" s="16"/>
      <c r="N96" s="16"/>
      <c r="O96" s="16"/>
      <c r="P96" s="16"/>
      <c r="Q96" s="16"/>
      <c r="R96" s="16"/>
    </row>
    <row r="97" ht="15.75" customHeight="1">
      <c r="A97" s="16"/>
      <c r="B97" s="16"/>
      <c r="C97" s="16"/>
      <c r="D97" s="16"/>
      <c r="E97" s="16"/>
      <c r="F97" s="16"/>
      <c r="G97" s="16"/>
      <c r="H97" s="16"/>
      <c r="I97" s="16"/>
      <c r="J97" s="16"/>
      <c r="K97" s="16"/>
      <c r="L97" s="16"/>
      <c r="M97" s="16"/>
      <c r="N97" s="16"/>
      <c r="O97" s="16"/>
      <c r="P97" s="16"/>
      <c r="Q97" s="16"/>
      <c r="R97" s="16"/>
    </row>
    <row r="98" ht="15.75" customHeight="1">
      <c r="A98" s="16"/>
      <c r="B98" s="16"/>
      <c r="C98" s="16"/>
      <c r="D98" s="16"/>
      <c r="E98" s="16"/>
      <c r="F98" s="16"/>
      <c r="G98" s="16"/>
      <c r="H98" s="16"/>
      <c r="I98" s="16"/>
      <c r="J98" s="16"/>
      <c r="K98" s="16"/>
      <c r="L98" s="16"/>
      <c r="M98" s="16"/>
      <c r="N98" s="16"/>
      <c r="O98" s="16"/>
      <c r="P98" s="16"/>
      <c r="Q98" s="16"/>
      <c r="R98" s="16"/>
    </row>
    <row r="99" ht="15.75" customHeight="1">
      <c r="A99" s="16"/>
      <c r="B99" s="16"/>
      <c r="C99" s="16"/>
      <c r="D99" s="16"/>
      <c r="E99" s="16"/>
      <c r="F99" s="16"/>
      <c r="G99" s="16"/>
      <c r="H99" s="16"/>
      <c r="I99" s="16"/>
      <c r="J99" s="16"/>
      <c r="K99" s="16"/>
      <c r="L99" s="16"/>
      <c r="M99" s="16"/>
      <c r="N99" s="16"/>
      <c r="O99" s="16"/>
      <c r="P99" s="16"/>
      <c r="Q99" s="16"/>
      <c r="R99" s="16"/>
    </row>
    <row r="100" ht="15.75" customHeight="1">
      <c r="A100" s="16"/>
      <c r="B100" s="16"/>
      <c r="C100" s="16"/>
      <c r="D100" s="16"/>
      <c r="E100" s="16"/>
      <c r="F100" s="16"/>
      <c r="G100" s="16"/>
      <c r="H100" s="16"/>
      <c r="I100" s="16"/>
      <c r="J100" s="16"/>
      <c r="K100" s="16"/>
      <c r="L100" s="16"/>
      <c r="M100" s="16"/>
      <c r="N100" s="16"/>
      <c r="O100" s="16"/>
      <c r="P100" s="16"/>
      <c r="Q100" s="16"/>
      <c r="R100" s="16"/>
    </row>
    <row r="101" ht="15.75" customHeight="1">
      <c r="A101" s="16"/>
      <c r="B101" s="16"/>
      <c r="C101" s="16"/>
      <c r="D101" s="16"/>
      <c r="E101" s="16"/>
      <c r="F101" s="16"/>
      <c r="G101" s="16"/>
      <c r="H101" s="16"/>
      <c r="I101" s="16"/>
      <c r="J101" s="16"/>
      <c r="K101" s="16"/>
      <c r="L101" s="16"/>
      <c r="M101" s="16"/>
      <c r="N101" s="16"/>
      <c r="O101" s="16"/>
      <c r="P101" s="16"/>
      <c r="Q101" s="16"/>
      <c r="R101" s="16"/>
    </row>
    <row r="102" ht="15.75" customHeight="1">
      <c r="A102" s="16"/>
      <c r="B102" s="16"/>
      <c r="C102" s="16"/>
      <c r="D102" s="16"/>
      <c r="E102" s="16"/>
      <c r="F102" s="16"/>
      <c r="G102" s="16"/>
      <c r="H102" s="16"/>
      <c r="I102" s="16"/>
      <c r="J102" s="16"/>
      <c r="K102" s="16"/>
      <c r="L102" s="16"/>
      <c r="M102" s="16"/>
      <c r="N102" s="16"/>
      <c r="O102" s="16"/>
      <c r="P102" s="16"/>
      <c r="Q102" s="16"/>
      <c r="R102" s="16"/>
    </row>
    <row r="103" ht="15.75" customHeight="1">
      <c r="A103" s="16"/>
      <c r="B103" s="16"/>
      <c r="C103" s="16"/>
      <c r="D103" s="16"/>
      <c r="E103" s="16"/>
      <c r="F103" s="16"/>
      <c r="G103" s="16"/>
      <c r="H103" s="16"/>
      <c r="I103" s="16"/>
      <c r="J103" s="16"/>
      <c r="K103" s="16"/>
      <c r="L103" s="16"/>
      <c r="M103" s="16"/>
      <c r="N103" s="16"/>
      <c r="O103" s="16"/>
      <c r="P103" s="16"/>
      <c r="Q103" s="16"/>
      <c r="R103" s="16"/>
    </row>
    <row r="104" ht="15.75" customHeight="1">
      <c r="A104" s="16"/>
      <c r="B104" s="16"/>
      <c r="C104" s="16"/>
      <c r="D104" s="16"/>
      <c r="E104" s="16"/>
      <c r="F104" s="16"/>
      <c r="G104" s="16"/>
      <c r="H104" s="16"/>
      <c r="I104" s="16"/>
      <c r="J104" s="16"/>
      <c r="K104" s="16"/>
      <c r="L104" s="16"/>
      <c r="M104" s="16"/>
      <c r="N104" s="16"/>
      <c r="O104" s="16"/>
      <c r="P104" s="16"/>
      <c r="Q104" s="16"/>
      <c r="R104" s="16"/>
    </row>
    <row r="105" ht="15.75" customHeight="1">
      <c r="A105" s="16"/>
      <c r="B105" s="16"/>
      <c r="C105" s="16"/>
      <c r="D105" s="16"/>
      <c r="E105" s="16"/>
      <c r="F105" s="16"/>
      <c r="G105" s="16"/>
      <c r="H105" s="16"/>
      <c r="I105" s="16"/>
      <c r="J105" s="16"/>
      <c r="K105" s="16"/>
      <c r="L105" s="16"/>
      <c r="M105" s="16"/>
      <c r="N105" s="16"/>
      <c r="O105" s="16"/>
      <c r="P105" s="16"/>
      <c r="Q105" s="16"/>
      <c r="R105" s="16"/>
    </row>
    <row r="106" ht="15.75" customHeight="1">
      <c r="A106" s="16"/>
      <c r="B106" s="16"/>
      <c r="C106" s="16"/>
      <c r="D106" s="16"/>
      <c r="E106" s="16"/>
      <c r="F106" s="16"/>
      <c r="G106" s="16"/>
      <c r="H106" s="16"/>
      <c r="I106" s="16"/>
      <c r="J106" s="16"/>
      <c r="K106" s="16"/>
      <c r="L106" s="16"/>
      <c r="M106" s="16"/>
      <c r="N106" s="16"/>
      <c r="O106" s="16"/>
      <c r="P106" s="16"/>
      <c r="Q106" s="16"/>
      <c r="R106" s="16"/>
    </row>
    <row r="107" ht="15.75" customHeight="1">
      <c r="A107" s="16"/>
      <c r="B107" s="16"/>
      <c r="C107" s="16"/>
      <c r="D107" s="16"/>
      <c r="E107" s="16"/>
      <c r="F107" s="16"/>
      <c r="G107" s="16"/>
      <c r="H107" s="16"/>
      <c r="I107" s="16"/>
      <c r="J107" s="16"/>
      <c r="K107" s="16"/>
      <c r="L107" s="16"/>
      <c r="M107" s="16"/>
      <c r="N107" s="16"/>
      <c r="O107" s="16"/>
      <c r="P107" s="16"/>
      <c r="Q107" s="16"/>
      <c r="R107" s="16"/>
    </row>
    <row r="108" ht="15.75" customHeight="1">
      <c r="A108" s="16"/>
      <c r="B108" s="16"/>
      <c r="C108" s="16"/>
      <c r="D108" s="16"/>
      <c r="E108" s="16"/>
      <c r="F108" s="16"/>
      <c r="G108" s="16"/>
      <c r="H108" s="16"/>
      <c r="I108" s="16"/>
      <c r="J108" s="16"/>
      <c r="K108" s="16"/>
      <c r="L108" s="16"/>
      <c r="M108" s="16"/>
      <c r="N108" s="16"/>
      <c r="O108" s="16"/>
      <c r="P108" s="16"/>
      <c r="Q108" s="16"/>
      <c r="R108" s="16"/>
    </row>
    <row r="109" ht="15.75" customHeight="1">
      <c r="A109" s="16"/>
      <c r="B109" s="16"/>
      <c r="C109" s="16"/>
      <c r="D109" s="16"/>
      <c r="E109" s="16"/>
      <c r="F109" s="16"/>
      <c r="G109" s="16"/>
      <c r="H109" s="16"/>
      <c r="I109" s="16"/>
      <c r="J109" s="16"/>
      <c r="K109" s="16"/>
      <c r="L109" s="16"/>
      <c r="M109" s="16"/>
      <c r="N109" s="16"/>
      <c r="O109" s="16"/>
      <c r="P109" s="16"/>
      <c r="Q109" s="16"/>
      <c r="R109" s="16"/>
    </row>
    <row r="110" ht="15.75" customHeight="1">
      <c r="A110" s="16"/>
      <c r="B110" s="16"/>
      <c r="C110" s="16"/>
      <c r="D110" s="16"/>
      <c r="E110" s="16"/>
      <c r="F110" s="16"/>
      <c r="G110" s="16"/>
      <c r="H110" s="16"/>
      <c r="I110" s="16"/>
      <c r="J110" s="16"/>
      <c r="K110" s="16"/>
      <c r="L110" s="16"/>
      <c r="M110" s="16"/>
      <c r="N110" s="16"/>
      <c r="O110" s="16"/>
      <c r="P110" s="16"/>
      <c r="Q110" s="16"/>
      <c r="R110" s="16"/>
    </row>
    <row r="111" ht="15.75" customHeight="1">
      <c r="A111" s="16"/>
      <c r="B111" s="16"/>
      <c r="C111" s="16"/>
      <c r="D111" s="16"/>
      <c r="E111" s="16"/>
      <c r="F111" s="16"/>
      <c r="G111" s="16"/>
      <c r="H111" s="16"/>
      <c r="I111" s="16"/>
      <c r="J111" s="16"/>
      <c r="K111" s="16"/>
      <c r="L111" s="16"/>
      <c r="M111" s="16"/>
      <c r="N111" s="16"/>
      <c r="O111" s="16"/>
      <c r="P111" s="16"/>
      <c r="Q111" s="16"/>
      <c r="R111" s="16"/>
    </row>
    <row r="112" ht="15.75" customHeight="1">
      <c r="A112" s="16"/>
      <c r="B112" s="16"/>
      <c r="C112" s="16"/>
      <c r="D112" s="16"/>
      <c r="E112" s="16"/>
      <c r="F112" s="16"/>
      <c r="G112" s="16"/>
      <c r="H112" s="16"/>
      <c r="I112" s="16"/>
      <c r="J112" s="16"/>
      <c r="K112" s="16"/>
      <c r="L112" s="16"/>
      <c r="M112" s="16"/>
      <c r="N112" s="16"/>
      <c r="O112" s="16"/>
      <c r="P112" s="16"/>
      <c r="Q112" s="16"/>
      <c r="R112" s="16"/>
    </row>
    <row r="113" ht="15.75" customHeight="1">
      <c r="A113" s="16"/>
      <c r="B113" s="16"/>
      <c r="C113" s="16"/>
      <c r="D113" s="16"/>
      <c r="E113" s="16"/>
      <c r="F113" s="16"/>
      <c r="G113" s="16"/>
      <c r="H113" s="16"/>
      <c r="I113" s="16"/>
      <c r="J113" s="16"/>
      <c r="K113" s="16"/>
      <c r="L113" s="16"/>
      <c r="M113" s="16"/>
      <c r="N113" s="16"/>
      <c r="O113" s="16"/>
      <c r="P113" s="16"/>
      <c r="Q113" s="16"/>
      <c r="R113" s="16"/>
    </row>
    <row r="114" ht="15.75" customHeight="1">
      <c r="A114" s="16"/>
      <c r="B114" s="16"/>
      <c r="C114" s="16"/>
      <c r="D114" s="16"/>
      <c r="E114" s="16"/>
      <c r="F114" s="16"/>
      <c r="G114" s="16"/>
      <c r="H114" s="16"/>
      <c r="I114" s="16"/>
      <c r="J114" s="16"/>
      <c r="K114" s="16"/>
      <c r="L114" s="16"/>
      <c r="M114" s="16"/>
      <c r="N114" s="16"/>
      <c r="O114" s="16"/>
      <c r="P114" s="16"/>
      <c r="Q114" s="16"/>
      <c r="R114" s="16"/>
    </row>
    <row r="115" ht="15.75" customHeight="1">
      <c r="A115" s="16"/>
      <c r="B115" s="16"/>
      <c r="C115" s="16"/>
      <c r="D115" s="16"/>
      <c r="E115" s="16"/>
      <c r="F115" s="16"/>
      <c r="G115" s="16"/>
      <c r="H115" s="16"/>
      <c r="I115" s="16"/>
      <c r="J115" s="16"/>
      <c r="K115" s="16"/>
      <c r="L115" s="16"/>
      <c r="M115" s="16"/>
      <c r="N115" s="16"/>
      <c r="O115" s="16"/>
      <c r="P115" s="16"/>
      <c r="Q115" s="16"/>
      <c r="R115" s="16"/>
    </row>
    <row r="116" ht="15.75" customHeight="1">
      <c r="A116" s="16"/>
      <c r="B116" s="16"/>
      <c r="C116" s="16"/>
      <c r="D116" s="16"/>
      <c r="E116" s="16"/>
      <c r="F116" s="16"/>
      <c r="G116" s="16"/>
      <c r="H116" s="16"/>
      <c r="I116" s="16"/>
      <c r="J116" s="16"/>
      <c r="K116" s="16"/>
      <c r="L116" s="16"/>
      <c r="M116" s="16"/>
      <c r="N116" s="16"/>
      <c r="O116" s="16"/>
      <c r="P116" s="16"/>
      <c r="Q116" s="16"/>
      <c r="R116" s="16"/>
    </row>
    <row r="117" ht="15.75" customHeight="1">
      <c r="A117" s="16"/>
      <c r="B117" s="16"/>
      <c r="C117" s="16"/>
      <c r="D117" s="16"/>
      <c r="E117" s="16"/>
      <c r="F117" s="16"/>
      <c r="G117" s="16"/>
      <c r="H117" s="16"/>
      <c r="I117" s="16"/>
      <c r="J117" s="16"/>
      <c r="K117" s="16"/>
      <c r="L117" s="16"/>
      <c r="M117" s="16"/>
      <c r="N117" s="16"/>
      <c r="O117" s="16"/>
      <c r="P117" s="16"/>
      <c r="Q117" s="16"/>
      <c r="R117" s="16"/>
    </row>
    <row r="118" ht="15.75" customHeight="1">
      <c r="A118" s="16"/>
      <c r="B118" s="16"/>
      <c r="C118" s="16"/>
      <c r="D118" s="16"/>
      <c r="E118" s="16"/>
      <c r="F118" s="16"/>
      <c r="G118" s="16"/>
      <c r="H118" s="16"/>
      <c r="I118" s="16"/>
      <c r="J118" s="16"/>
      <c r="K118" s="16"/>
      <c r="L118" s="16"/>
      <c r="M118" s="16"/>
      <c r="N118" s="16"/>
      <c r="O118" s="16"/>
      <c r="P118" s="16"/>
      <c r="Q118" s="16"/>
      <c r="R118" s="16"/>
    </row>
    <row r="119" ht="15.75" customHeight="1">
      <c r="A119" s="16"/>
      <c r="B119" s="16"/>
      <c r="C119" s="16"/>
      <c r="D119" s="16"/>
      <c r="E119" s="16"/>
      <c r="F119" s="16"/>
      <c r="G119" s="16"/>
      <c r="H119" s="16"/>
      <c r="I119" s="16"/>
      <c r="J119" s="16"/>
      <c r="K119" s="16"/>
      <c r="L119" s="16"/>
      <c r="M119" s="16"/>
      <c r="N119" s="16"/>
      <c r="O119" s="16"/>
      <c r="P119" s="16"/>
      <c r="Q119" s="16"/>
      <c r="R119" s="16"/>
    </row>
    <row r="120" ht="15.75" customHeight="1">
      <c r="A120" s="16"/>
      <c r="B120" s="16"/>
      <c r="C120" s="16"/>
      <c r="D120" s="16"/>
      <c r="E120" s="16"/>
      <c r="F120" s="16"/>
      <c r="G120" s="16"/>
      <c r="H120" s="16"/>
      <c r="I120" s="16"/>
      <c r="J120" s="16"/>
      <c r="K120" s="16"/>
      <c r="L120" s="16"/>
      <c r="M120" s="16"/>
      <c r="N120" s="16"/>
      <c r="O120" s="16"/>
      <c r="P120" s="16"/>
      <c r="Q120" s="16"/>
      <c r="R120" s="16"/>
    </row>
    <row r="121" ht="15.75" customHeight="1">
      <c r="A121" s="16"/>
      <c r="B121" s="16"/>
      <c r="C121" s="16"/>
      <c r="D121" s="16"/>
      <c r="E121" s="16"/>
      <c r="F121" s="16"/>
      <c r="G121" s="16"/>
      <c r="H121" s="16"/>
      <c r="I121" s="16"/>
      <c r="J121" s="16"/>
      <c r="K121" s="16"/>
      <c r="L121" s="16"/>
      <c r="M121" s="16"/>
      <c r="N121" s="16"/>
      <c r="O121" s="16"/>
      <c r="P121" s="16"/>
      <c r="Q121" s="16"/>
      <c r="R121" s="16"/>
    </row>
    <row r="122" ht="15.75" customHeight="1">
      <c r="A122" s="16"/>
      <c r="B122" s="16"/>
      <c r="C122" s="16"/>
      <c r="D122" s="16"/>
      <c r="E122" s="16"/>
      <c r="F122" s="16"/>
      <c r="G122" s="16"/>
      <c r="H122" s="16"/>
      <c r="I122" s="16"/>
      <c r="J122" s="16"/>
      <c r="K122" s="16"/>
      <c r="L122" s="16"/>
      <c r="M122" s="16"/>
      <c r="N122" s="16"/>
      <c r="O122" s="16"/>
      <c r="P122" s="16"/>
      <c r="Q122" s="16"/>
      <c r="R122" s="16"/>
    </row>
    <row r="123" ht="15.75" customHeight="1">
      <c r="A123" s="16"/>
      <c r="B123" s="16"/>
      <c r="C123" s="16"/>
      <c r="D123" s="16"/>
      <c r="E123" s="16"/>
      <c r="F123" s="16"/>
      <c r="G123" s="16"/>
      <c r="H123" s="16"/>
      <c r="I123" s="16"/>
      <c r="J123" s="16"/>
      <c r="K123" s="16"/>
      <c r="L123" s="16"/>
      <c r="M123" s="16"/>
      <c r="N123" s="16"/>
      <c r="O123" s="16"/>
      <c r="P123" s="16"/>
      <c r="Q123" s="16"/>
      <c r="R123" s="16"/>
    </row>
    <row r="124" ht="15.75" customHeight="1">
      <c r="A124" s="16"/>
      <c r="B124" s="16"/>
      <c r="C124" s="16"/>
      <c r="D124" s="16"/>
      <c r="E124" s="16"/>
      <c r="F124" s="16"/>
      <c r="G124" s="16"/>
      <c r="H124" s="16"/>
      <c r="I124" s="16"/>
      <c r="J124" s="16"/>
      <c r="K124" s="16"/>
      <c r="L124" s="16"/>
      <c r="M124" s="16"/>
      <c r="N124" s="16"/>
      <c r="O124" s="16"/>
      <c r="P124" s="16"/>
      <c r="Q124" s="16"/>
      <c r="R124" s="16"/>
    </row>
    <row r="125" ht="15.75" customHeight="1">
      <c r="A125" s="16"/>
      <c r="B125" s="16"/>
      <c r="C125" s="16"/>
      <c r="D125" s="16"/>
      <c r="E125" s="16"/>
      <c r="F125" s="16"/>
      <c r="G125" s="16"/>
      <c r="H125" s="16"/>
      <c r="I125" s="16"/>
      <c r="J125" s="16"/>
      <c r="K125" s="16"/>
      <c r="L125" s="16"/>
      <c r="M125" s="16"/>
      <c r="N125" s="16"/>
      <c r="O125" s="16"/>
      <c r="P125" s="16"/>
      <c r="Q125" s="16"/>
      <c r="R125" s="16"/>
    </row>
    <row r="126" ht="15.75" customHeight="1">
      <c r="A126" s="16"/>
      <c r="B126" s="16"/>
      <c r="C126" s="16"/>
      <c r="D126" s="16"/>
      <c r="E126" s="16"/>
      <c r="F126" s="16"/>
      <c r="G126" s="16"/>
      <c r="H126" s="16"/>
      <c r="I126" s="16"/>
      <c r="J126" s="16"/>
      <c r="K126" s="16"/>
      <c r="L126" s="16"/>
      <c r="M126" s="16"/>
      <c r="N126" s="16"/>
      <c r="O126" s="16"/>
      <c r="P126" s="16"/>
      <c r="Q126" s="16"/>
      <c r="R126" s="16"/>
    </row>
    <row r="127" ht="15.75" customHeight="1">
      <c r="A127" s="16"/>
      <c r="B127" s="16"/>
      <c r="C127" s="16"/>
      <c r="D127" s="16"/>
      <c r="E127" s="16"/>
      <c r="F127" s="16"/>
      <c r="G127" s="16"/>
      <c r="H127" s="16"/>
      <c r="I127" s="16"/>
      <c r="J127" s="16"/>
      <c r="K127" s="16"/>
      <c r="L127" s="16"/>
      <c r="M127" s="16"/>
      <c r="N127" s="16"/>
      <c r="O127" s="16"/>
      <c r="P127" s="16"/>
      <c r="Q127" s="16"/>
      <c r="R127" s="16"/>
    </row>
    <row r="128" ht="15.75" customHeight="1">
      <c r="A128" s="16"/>
      <c r="B128" s="16"/>
      <c r="C128" s="16"/>
      <c r="D128" s="16"/>
      <c r="E128" s="16"/>
      <c r="F128" s="16"/>
      <c r="G128" s="16"/>
      <c r="H128" s="16"/>
      <c r="I128" s="16"/>
      <c r="J128" s="16"/>
      <c r="K128" s="16"/>
      <c r="L128" s="16"/>
      <c r="M128" s="16"/>
      <c r="N128" s="16"/>
      <c r="O128" s="16"/>
      <c r="P128" s="16"/>
      <c r="Q128" s="16"/>
      <c r="R128" s="16"/>
    </row>
    <row r="129" ht="15.75" customHeight="1">
      <c r="A129" s="16"/>
      <c r="B129" s="16"/>
      <c r="C129" s="16"/>
      <c r="D129" s="16"/>
      <c r="E129" s="16"/>
      <c r="F129" s="16"/>
      <c r="G129" s="16"/>
      <c r="H129" s="16"/>
      <c r="I129" s="16"/>
      <c r="J129" s="16"/>
      <c r="K129" s="16"/>
      <c r="L129" s="16"/>
      <c r="M129" s="16"/>
      <c r="N129" s="16"/>
      <c r="O129" s="16"/>
      <c r="P129" s="16"/>
      <c r="Q129" s="16"/>
      <c r="R129" s="16"/>
    </row>
    <row r="130" ht="15.75" customHeight="1">
      <c r="A130" s="16"/>
      <c r="B130" s="16"/>
      <c r="C130" s="16"/>
      <c r="D130" s="16"/>
      <c r="E130" s="16"/>
      <c r="F130" s="16"/>
      <c r="G130" s="16"/>
      <c r="H130" s="16"/>
      <c r="I130" s="16"/>
      <c r="J130" s="16"/>
      <c r="K130" s="16"/>
      <c r="L130" s="16"/>
      <c r="M130" s="16"/>
      <c r="N130" s="16"/>
      <c r="O130" s="16"/>
      <c r="P130" s="16"/>
      <c r="Q130" s="16"/>
      <c r="R130" s="16"/>
    </row>
    <row r="131" ht="15.75" customHeight="1">
      <c r="A131" s="16"/>
      <c r="B131" s="16"/>
      <c r="C131" s="16"/>
      <c r="D131" s="16"/>
      <c r="E131" s="16"/>
      <c r="F131" s="16"/>
      <c r="G131" s="16"/>
      <c r="H131" s="16"/>
      <c r="I131" s="16"/>
      <c r="J131" s="16"/>
      <c r="K131" s="16"/>
      <c r="L131" s="16"/>
      <c r="M131" s="16"/>
      <c r="N131" s="16"/>
      <c r="O131" s="16"/>
      <c r="P131" s="16"/>
      <c r="Q131" s="16"/>
      <c r="R131" s="16"/>
    </row>
    <row r="132" ht="15.75" customHeight="1">
      <c r="A132" s="16"/>
      <c r="B132" s="16"/>
      <c r="C132" s="16"/>
      <c r="D132" s="16"/>
      <c r="E132" s="16"/>
      <c r="F132" s="16"/>
      <c r="G132" s="16"/>
      <c r="H132" s="16"/>
      <c r="I132" s="16"/>
      <c r="J132" s="16"/>
      <c r="K132" s="16"/>
      <c r="L132" s="16"/>
      <c r="M132" s="16"/>
      <c r="N132" s="16"/>
      <c r="O132" s="16"/>
      <c r="P132" s="16"/>
      <c r="Q132" s="16"/>
      <c r="R132" s="16"/>
    </row>
    <row r="133" ht="15.75" customHeight="1">
      <c r="A133" s="16"/>
      <c r="B133" s="16"/>
      <c r="C133" s="16"/>
      <c r="D133" s="16"/>
      <c r="E133" s="16"/>
      <c r="F133" s="16"/>
      <c r="G133" s="16"/>
      <c r="H133" s="16"/>
      <c r="I133" s="16"/>
      <c r="J133" s="16"/>
      <c r="K133" s="16"/>
      <c r="L133" s="16"/>
      <c r="M133" s="16"/>
      <c r="N133" s="16"/>
      <c r="O133" s="16"/>
      <c r="P133" s="16"/>
      <c r="Q133" s="16"/>
      <c r="R133" s="16"/>
    </row>
    <row r="134" ht="15.75" customHeight="1">
      <c r="A134" s="16"/>
      <c r="B134" s="16"/>
      <c r="C134" s="16"/>
      <c r="D134" s="16"/>
      <c r="E134" s="16"/>
      <c r="F134" s="16"/>
      <c r="G134" s="16"/>
      <c r="H134" s="16"/>
      <c r="I134" s="16"/>
      <c r="J134" s="16"/>
      <c r="K134" s="16"/>
      <c r="L134" s="16"/>
      <c r="M134" s="16"/>
      <c r="N134" s="16"/>
      <c r="O134" s="16"/>
      <c r="P134" s="16"/>
      <c r="Q134" s="16"/>
      <c r="R134" s="16"/>
    </row>
    <row r="135" ht="15.75" customHeight="1">
      <c r="A135" s="16"/>
      <c r="B135" s="16"/>
      <c r="C135" s="16"/>
      <c r="D135" s="16"/>
      <c r="E135" s="16"/>
      <c r="F135" s="16"/>
      <c r="G135" s="16"/>
      <c r="H135" s="16"/>
      <c r="I135" s="16"/>
      <c r="J135" s="16"/>
      <c r="K135" s="16"/>
      <c r="L135" s="16"/>
      <c r="M135" s="16"/>
      <c r="N135" s="16"/>
      <c r="O135" s="16"/>
      <c r="P135" s="16"/>
      <c r="Q135" s="16"/>
      <c r="R135" s="16"/>
    </row>
    <row r="136" ht="15.75" customHeight="1">
      <c r="A136" s="16"/>
      <c r="B136" s="16"/>
      <c r="C136" s="16"/>
      <c r="D136" s="16"/>
      <c r="E136" s="16"/>
      <c r="F136" s="16"/>
      <c r="G136" s="16"/>
      <c r="H136" s="16"/>
      <c r="I136" s="16"/>
      <c r="J136" s="16"/>
      <c r="K136" s="16"/>
      <c r="L136" s="16"/>
      <c r="M136" s="16"/>
      <c r="N136" s="16"/>
      <c r="O136" s="16"/>
      <c r="P136" s="16"/>
      <c r="Q136" s="16"/>
      <c r="R136" s="16"/>
    </row>
    <row r="137" ht="15.75" customHeight="1">
      <c r="A137" s="16"/>
      <c r="B137" s="16"/>
      <c r="C137" s="16"/>
      <c r="D137" s="16"/>
      <c r="E137" s="16"/>
      <c r="F137" s="16"/>
      <c r="G137" s="16"/>
      <c r="H137" s="16"/>
      <c r="I137" s="16"/>
      <c r="J137" s="16"/>
      <c r="K137" s="16"/>
      <c r="L137" s="16"/>
      <c r="M137" s="16"/>
      <c r="N137" s="16"/>
      <c r="O137" s="16"/>
      <c r="P137" s="16"/>
      <c r="Q137" s="16"/>
      <c r="R137" s="16"/>
    </row>
    <row r="138" ht="15.75" customHeight="1">
      <c r="A138" s="16"/>
      <c r="B138" s="16"/>
      <c r="C138" s="16"/>
      <c r="D138" s="16"/>
      <c r="E138" s="16"/>
      <c r="F138" s="16"/>
      <c r="G138" s="16"/>
      <c r="H138" s="16"/>
      <c r="I138" s="16"/>
      <c r="J138" s="16"/>
      <c r="K138" s="16"/>
      <c r="L138" s="16"/>
      <c r="M138" s="16"/>
      <c r="N138" s="16"/>
      <c r="O138" s="16"/>
      <c r="P138" s="16"/>
      <c r="Q138" s="16"/>
      <c r="R138" s="16"/>
    </row>
    <row r="139" ht="15.75" customHeight="1">
      <c r="A139" s="16"/>
      <c r="B139" s="16"/>
      <c r="C139" s="16"/>
      <c r="D139" s="16"/>
      <c r="E139" s="16"/>
      <c r="F139" s="16"/>
      <c r="G139" s="16"/>
      <c r="H139" s="16"/>
      <c r="I139" s="16"/>
      <c r="J139" s="16"/>
      <c r="K139" s="16"/>
      <c r="L139" s="16"/>
      <c r="M139" s="16"/>
      <c r="N139" s="16"/>
      <c r="O139" s="16"/>
      <c r="P139" s="16"/>
      <c r="Q139" s="16"/>
      <c r="R139" s="16"/>
    </row>
    <row r="140" ht="15.75" customHeight="1">
      <c r="A140" s="16"/>
      <c r="B140" s="16"/>
      <c r="C140" s="16"/>
      <c r="D140" s="16"/>
      <c r="E140" s="16"/>
      <c r="F140" s="16"/>
      <c r="G140" s="16"/>
      <c r="H140" s="16"/>
      <c r="I140" s="16"/>
      <c r="J140" s="16"/>
      <c r="K140" s="16"/>
      <c r="L140" s="16"/>
      <c r="M140" s="16"/>
      <c r="N140" s="16"/>
      <c r="O140" s="16"/>
      <c r="P140" s="16"/>
      <c r="Q140" s="16"/>
      <c r="R140" s="16"/>
    </row>
    <row r="141" ht="15.75" customHeight="1">
      <c r="A141" s="16"/>
      <c r="B141" s="16"/>
      <c r="C141" s="16"/>
      <c r="D141" s="16"/>
      <c r="E141" s="16"/>
      <c r="F141" s="16"/>
      <c r="G141" s="16"/>
      <c r="H141" s="16"/>
      <c r="I141" s="16"/>
      <c r="J141" s="16"/>
      <c r="K141" s="16"/>
      <c r="L141" s="16"/>
      <c r="M141" s="16"/>
      <c r="N141" s="16"/>
      <c r="O141" s="16"/>
      <c r="P141" s="16"/>
      <c r="Q141" s="16"/>
      <c r="R141" s="16"/>
    </row>
    <row r="142" ht="15.75" customHeight="1">
      <c r="A142" s="16"/>
      <c r="B142" s="16"/>
      <c r="C142" s="16"/>
      <c r="D142" s="16"/>
      <c r="E142" s="16"/>
      <c r="F142" s="16"/>
      <c r="G142" s="16"/>
      <c r="H142" s="16"/>
      <c r="I142" s="16"/>
      <c r="J142" s="16"/>
      <c r="K142" s="16"/>
      <c r="L142" s="16"/>
      <c r="M142" s="16"/>
      <c r="N142" s="16"/>
      <c r="O142" s="16"/>
      <c r="P142" s="16"/>
      <c r="Q142" s="16"/>
      <c r="R142" s="16"/>
    </row>
    <row r="143" ht="15.75" customHeight="1">
      <c r="A143" s="16"/>
      <c r="B143" s="16"/>
      <c r="C143" s="16"/>
      <c r="D143" s="16"/>
      <c r="E143" s="16"/>
      <c r="F143" s="16"/>
      <c r="G143" s="16"/>
      <c r="H143" s="16"/>
      <c r="I143" s="16"/>
      <c r="J143" s="16"/>
      <c r="K143" s="16"/>
      <c r="L143" s="16"/>
      <c r="M143" s="16"/>
      <c r="N143" s="16"/>
      <c r="O143" s="16"/>
      <c r="P143" s="16"/>
      <c r="Q143" s="16"/>
      <c r="R143" s="16"/>
    </row>
    <row r="144" ht="15.75" customHeight="1">
      <c r="A144" s="16"/>
      <c r="B144" s="16"/>
      <c r="C144" s="16"/>
      <c r="D144" s="16"/>
      <c r="E144" s="16"/>
      <c r="F144" s="16"/>
      <c r="G144" s="16"/>
      <c r="H144" s="16"/>
      <c r="I144" s="16"/>
      <c r="J144" s="16"/>
      <c r="K144" s="16"/>
      <c r="L144" s="16"/>
      <c r="M144" s="16"/>
      <c r="N144" s="16"/>
      <c r="O144" s="16"/>
      <c r="P144" s="16"/>
      <c r="Q144" s="16"/>
      <c r="R144" s="16"/>
    </row>
    <row r="145" ht="15.75" customHeight="1">
      <c r="A145" s="16"/>
      <c r="B145" s="16"/>
      <c r="C145" s="16"/>
      <c r="D145" s="16"/>
      <c r="E145" s="16"/>
      <c r="F145" s="16"/>
      <c r="G145" s="16"/>
      <c r="H145" s="16"/>
      <c r="I145" s="16"/>
      <c r="J145" s="16"/>
      <c r="K145" s="16"/>
      <c r="L145" s="16"/>
      <c r="M145" s="16"/>
      <c r="N145" s="16"/>
      <c r="O145" s="16"/>
      <c r="P145" s="16"/>
      <c r="Q145" s="16"/>
      <c r="R145" s="16"/>
    </row>
    <row r="146" ht="15.75" customHeight="1">
      <c r="A146" s="16"/>
      <c r="B146" s="16"/>
      <c r="C146" s="16"/>
      <c r="D146" s="16"/>
      <c r="E146" s="16"/>
      <c r="F146" s="16"/>
      <c r="G146" s="16"/>
      <c r="H146" s="16"/>
      <c r="I146" s="16"/>
      <c r="J146" s="16"/>
      <c r="K146" s="16"/>
      <c r="L146" s="16"/>
      <c r="M146" s="16"/>
      <c r="N146" s="16"/>
      <c r="O146" s="16"/>
      <c r="P146" s="16"/>
      <c r="Q146" s="16"/>
      <c r="R146" s="16"/>
    </row>
    <row r="147" ht="15.75" customHeight="1">
      <c r="A147" s="16"/>
      <c r="B147" s="16"/>
      <c r="C147" s="16"/>
      <c r="D147" s="16"/>
      <c r="E147" s="16"/>
      <c r="F147" s="16"/>
      <c r="G147" s="16"/>
      <c r="H147" s="16"/>
      <c r="I147" s="16"/>
      <c r="J147" s="16"/>
      <c r="K147" s="16"/>
      <c r="L147" s="16"/>
      <c r="M147" s="16"/>
      <c r="N147" s="16"/>
      <c r="O147" s="16"/>
      <c r="P147" s="16"/>
      <c r="Q147" s="16"/>
      <c r="R147" s="16"/>
    </row>
    <row r="148" ht="15.75" customHeight="1">
      <c r="A148" s="16"/>
      <c r="B148" s="16"/>
      <c r="C148" s="16"/>
      <c r="D148" s="16"/>
      <c r="E148" s="16"/>
      <c r="F148" s="16"/>
      <c r="G148" s="16"/>
      <c r="H148" s="16"/>
      <c r="I148" s="16"/>
      <c r="J148" s="16"/>
      <c r="K148" s="16"/>
      <c r="L148" s="16"/>
      <c r="M148" s="16"/>
      <c r="N148" s="16"/>
      <c r="O148" s="16"/>
      <c r="P148" s="16"/>
      <c r="Q148" s="16"/>
      <c r="R148" s="16"/>
    </row>
    <row r="149" ht="15.75" customHeight="1">
      <c r="A149" s="16"/>
      <c r="B149" s="16"/>
      <c r="C149" s="16"/>
      <c r="D149" s="16"/>
      <c r="E149" s="16"/>
      <c r="F149" s="16"/>
      <c r="G149" s="16"/>
      <c r="H149" s="16"/>
      <c r="I149" s="16"/>
      <c r="J149" s="16"/>
      <c r="K149" s="16"/>
      <c r="L149" s="16"/>
      <c r="M149" s="16"/>
      <c r="N149" s="16"/>
      <c r="O149" s="16"/>
      <c r="P149" s="16"/>
      <c r="Q149" s="16"/>
      <c r="R149" s="16"/>
    </row>
    <row r="150" ht="15.75" customHeight="1">
      <c r="A150" s="16"/>
      <c r="B150" s="16"/>
      <c r="C150" s="16"/>
      <c r="D150" s="16"/>
      <c r="E150" s="16"/>
      <c r="F150" s="16"/>
      <c r="G150" s="16"/>
      <c r="H150" s="16"/>
      <c r="I150" s="16"/>
      <c r="J150" s="16"/>
      <c r="K150" s="16"/>
      <c r="L150" s="16"/>
      <c r="M150" s="16"/>
      <c r="N150" s="16"/>
      <c r="O150" s="16"/>
      <c r="P150" s="16"/>
      <c r="Q150" s="16"/>
      <c r="R150" s="16"/>
    </row>
    <row r="151" ht="15.75" customHeight="1">
      <c r="A151" s="16"/>
      <c r="B151" s="16"/>
      <c r="C151" s="16"/>
      <c r="D151" s="16"/>
      <c r="E151" s="16"/>
      <c r="F151" s="16"/>
      <c r="G151" s="16"/>
      <c r="H151" s="16"/>
      <c r="I151" s="16"/>
      <c r="J151" s="16"/>
      <c r="K151" s="16"/>
      <c r="L151" s="16"/>
      <c r="M151" s="16"/>
      <c r="N151" s="16"/>
      <c r="O151" s="16"/>
      <c r="P151" s="16"/>
      <c r="Q151" s="16"/>
      <c r="R151" s="16"/>
    </row>
    <row r="152" ht="15.75" customHeight="1">
      <c r="A152" s="16"/>
      <c r="B152" s="16"/>
      <c r="C152" s="16"/>
      <c r="D152" s="16"/>
      <c r="E152" s="16"/>
      <c r="F152" s="16"/>
      <c r="G152" s="16"/>
      <c r="H152" s="16"/>
      <c r="I152" s="16"/>
      <c r="J152" s="16"/>
      <c r="K152" s="16"/>
      <c r="L152" s="16"/>
      <c r="M152" s="16"/>
      <c r="N152" s="16"/>
      <c r="O152" s="16"/>
      <c r="P152" s="16"/>
      <c r="Q152" s="16"/>
      <c r="R152" s="16"/>
    </row>
    <row r="153" ht="15.75" customHeight="1">
      <c r="A153" s="16"/>
      <c r="B153" s="16"/>
      <c r="C153" s="16"/>
      <c r="D153" s="16"/>
      <c r="E153" s="16"/>
      <c r="F153" s="16"/>
      <c r="G153" s="16"/>
      <c r="H153" s="16"/>
      <c r="I153" s="16"/>
      <c r="J153" s="16"/>
      <c r="K153" s="16"/>
      <c r="L153" s="16"/>
      <c r="M153" s="16"/>
      <c r="N153" s="16"/>
      <c r="O153" s="16"/>
      <c r="P153" s="16"/>
      <c r="Q153" s="16"/>
      <c r="R153" s="16"/>
    </row>
    <row r="154" ht="15.75" customHeight="1">
      <c r="A154" s="16"/>
      <c r="B154" s="16"/>
      <c r="C154" s="16"/>
      <c r="D154" s="16"/>
      <c r="E154" s="16"/>
      <c r="F154" s="16"/>
      <c r="G154" s="16"/>
      <c r="H154" s="16"/>
      <c r="I154" s="16"/>
      <c r="J154" s="16"/>
      <c r="K154" s="16"/>
      <c r="L154" s="16"/>
      <c r="M154" s="16"/>
      <c r="N154" s="16"/>
      <c r="O154" s="16"/>
      <c r="P154" s="16"/>
      <c r="Q154" s="16"/>
      <c r="R154" s="16"/>
    </row>
    <row r="155" ht="15.75" customHeight="1">
      <c r="A155" s="16"/>
      <c r="B155" s="16"/>
      <c r="C155" s="16"/>
      <c r="D155" s="16"/>
      <c r="E155" s="16"/>
      <c r="F155" s="16"/>
      <c r="G155" s="16"/>
      <c r="H155" s="16"/>
      <c r="I155" s="16"/>
      <c r="J155" s="16"/>
      <c r="K155" s="16"/>
      <c r="L155" s="16"/>
      <c r="M155" s="16"/>
      <c r="N155" s="16"/>
      <c r="O155" s="16"/>
      <c r="P155" s="16"/>
      <c r="Q155" s="16"/>
      <c r="R155" s="16"/>
    </row>
    <row r="156" ht="15.75" customHeight="1">
      <c r="A156" s="16"/>
      <c r="B156" s="16"/>
      <c r="C156" s="16"/>
      <c r="D156" s="16"/>
      <c r="E156" s="16"/>
      <c r="F156" s="16"/>
      <c r="G156" s="16"/>
      <c r="H156" s="16"/>
      <c r="I156" s="16"/>
      <c r="J156" s="16"/>
      <c r="K156" s="16"/>
      <c r="L156" s="16"/>
      <c r="M156" s="16"/>
      <c r="N156" s="16"/>
      <c r="O156" s="16"/>
      <c r="P156" s="16"/>
      <c r="Q156" s="16"/>
      <c r="R156" s="16"/>
    </row>
    <row r="157" ht="15.75" customHeight="1">
      <c r="A157" s="16"/>
      <c r="B157" s="16"/>
      <c r="C157" s="16"/>
      <c r="D157" s="16"/>
      <c r="E157" s="16"/>
      <c r="F157" s="16"/>
      <c r="G157" s="16"/>
      <c r="H157" s="16"/>
      <c r="I157" s="16"/>
      <c r="J157" s="16"/>
      <c r="K157" s="16"/>
      <c r="L157" s="16"/>
      <c r="M157" s="16"/>
      <c r="N157" s="16"/>
      <c r="O157" s="16"/>
      <c r="P157" s="16"/>
      <c r="Q157" s="16"/>
      <c r="R157" s="16"/>
    </row>
    <row r="158" ht="15.75" customHeight="1">
      <c r="A158" s="16"/>
      <c r="B158" s="16"/>
      <c r="C158" s="16"/>
      <c r="D158" s="16"/>
      <c r="E158" s="16"/>
      <c r="F158" s="16"/>
      <c r="G158" s="16"/>
      <c r="H158" s="16"/>
      <c r="I158" s="16"/>
      <c r="J158" s="16"/>
      <c r="K158" s="16"/>
      <c r="L158" s="16"/>
      <c r="M158" s="16"/>
      <c r="N158" s="16"/>
      <c r="O158" s="16"/>
      <c r="P158" s="16"/>
      <c r="Q158" s="16"/>
      <c r="R158" s="16"/>
    </row>
    <row r="159" ht="15.75" customHeight="1">
      <c r="A159" s="16"/>
      <c r="B159" s="16"/>
      <c r="C159" s="16"/>
      <c r="D159" s="16"/>
      <c r="E159" s="16"/>
      <c r="F159" s="16"/>
      <c r="G159" s="16"/>
      <c r="H159" s="16"/>
      <c r="I159" s="16"/>
      <c r="J159" s="16"/>
      <c r="K159" s="16"/>
      <c r="L159" s="16"/>
      <c r="M159" s="16"/>
      <c r="N159" s="16"/>
      <c r="O159" s="16"/>
      <c r="P159" s="16"/>
      <c r="Q159" s="16"/>
      <c r="R159" s="16"/>
    </row>
    <row r="160" ht="15.75" customHeight="1">
      <c r="A160" s="16"/>
      <c r="B160" s="16"/>
      <c r="C160" s="16"/>
      <c r="D160" s="16"/>
      <c r="E160" s="16"/>
      <c r="F160" s="16"/>
      <c r="G160" s="16"/>
      <c r="H160" s="16"/>
      <c r="I160" s="16"/>
      <c r="J160" s="16"/>
      <c r="K160" s="16"/>
      <c r="L160" s="16"/>
      <c r="M160" s="16"/>
      <c r="N160" s="16"/>
      <c r="O160" s="16"/>
      <c r="P160" s="16"/>
      <c r="Q160" s="16"/>
      <c r="R160" s="16"/>
    </row>
    <row r="161" ht="15.75" customHeight="1">
      <c r="A161" s="16"/>
      <c r="B161" s="16"/>
      <c r="C161" s="16"/>
      <c r="D161" s="16"/>
      <c r="E161" s="16"/>
      <c r="F161" s="16"/>
      <c r="G161" s="16"/>
      <c r="H161" s="16"/>
      <c r="I161" s="16"/>
      <c r="J161" s="16"/>
      <c r="K161" s="16"/>
      <c r="L161" s="16"/>
      <c r="M161" s="16"/>
      <c r="N161" s="16"/>
      <c r="O161" s="16"/>
      <c r="P161" s="16"/>
      <c r="Q161" s="16"/>
      <c r="R161" s="16"/>
    </row>
    <row r="162" ht="15.75" customHeight="1">
      <c r="A162" s="16"/>
      <c r="B162" s="16"/>
      <c r="C162" s="16"/>
      <c r="D162" s="16"/>
      <c r="E162" s="16"/>
      <c r="F162" s="16"/>
      <c r="G162" s="16"/>
      <c r="H162" s="16"/>
      <c r="I162" s="16"/>
      <c r="J162" s="16"/>
      <c r="K162" s="16"/>
      <c r="L162" s="16"/>
      <c r="M162" s="16"/>
      <c r="N162" s="16"/>
      <c r="O162" s="16"/>
      <c r="P162" s="16"/>
      <c r="Q162" s="16"/>
      <c r="R162" s="16"/>
    </row>
    <row r="163" ht="15.75" customHeight="1">
      <c r="A163" s="16"/>
      <c r="B163" s="16"/>
      <c r="C163" s="16"/>
      <c r="D163" s="16"/>
      <c r="E163" s="16"/>
      <c r="F163" s="16"/>
      <c r="G163" s="16"/>
      <c r="H163" s="16"/>
      <c r="I163" s="16"/>
      <c r="J163" s="16"/>
      <c r="K163" s="16"/>
      <c r="L163" s="16"/>
      <c r="M163" s="16"/>
      <c r="N163" s="16"/>
      <c r="O163" s="16"/>
      <c r="P163" s="16"/>
      <c r="Q163" s="16"/>
      <c r="R163" s="16"/>
    </row>
    <row r="164" ht="15.75" customHeight="1">
      <c r="A164" s="16"/>
      <c r="B164" s="16"/>
      <c r="C164" s="16"/>
      <c r="D164" s="16"/>
      <c r="E164" s="16"/>
      <c r="F164" s="16"/>
      <c r="G164" s="16"/>
      <c r="H164" s="16"/>
      <c r="I164" s="16"/>
      <c r="J164" s="16"/>
      <c r="K164" s="16"/>
      <c r="L164" s="16"/>
      <c r="M164" s="16"/>
      <c r="N164" s="16"/>
      <c r="O164" s="16"/>
      <c r="P164" s="16"/>
      <c r="Q164" s="16"/>
      <c r="R164" s="16"/>
    </row>
    <row r="165" ht="15.75" customHeight="1">
      <c r="A165" s="16"/>
      <c r="B165" s="16"/>
      <c r="C165" s="16"/>
      <c r="D165" s="16"/>
      <c r="E165" s="16"/>
      <c r="F165" s="16"/>
      <c r="G165" s="16"/>
      <c r="H165" s="16"/>
      <c r="I165" s="16"/>
      <c r="J165" s="16"/>
      <c r="K165" s="16"/>
      <c r="L165" s="16"/>
      <c r="M165" s="16"/>
      <c r="N165" s="16"/>
      <c r="O165" s="16"/>
      <c r="P165" s="16"/>
      <c r="Q165" s="16"/>
      <c r="R165" s="16"/>
    </row>
    <row r="166" ht="15.75" customHeight="1">
      <c r="A166" s="16"/>
      <c r="B166" s="16"/>
      <c r="C166" s="16"/>
      <c r="D166" s="16"/>
      <c r="E166" s="16"/>
      <c r="F166" s="16"/>
      <c r="G166" s="16"/>
      <c r="H166" s="16"/>
      <c r="I166" s="16"/>
      <c r="J166" s="16"/>
      <c r="K166" s="16"/>
      <c r="L166" s="16"/>
      <c r="M166" s="16"/>
      <c r="N166" s="16"/>
      <c r="O166" s="16"/>
      <c r="P166" s="16"/>
      <c r="Q166" s="16"/>
      <c r="R166" s="16"/>
    </row>
    <row r="167" ht="15.75" customHeight="1">
      <c r="A167" s="16"/>
      <c r="B167" s="16"/>
      <c r="C167" s="16"/>
      <c r="D167" s="16"/>
      <c r="E167" s="16"/>
      <c r="F167" s="16"/>
      <c r="G167" s="16"/>
      <c r="H167" s="16"/>
      <c r="I167" s="16"/>
      <c r="J167" s="16"/>
      <c r="K167" s="16"/>
      <c r="L167" s="16"/>
      <c r="M167" s="16"/>
      <c r="N167" s="16"/>
      <c r="O167" s="16"/>
      <c r="P167" s="16"/>
      <c r="Q167" s="16"/>
      <c r="R167" s="16"/>
    </row>
    <row r="168" ht="15.75" customHeight="1">
      <c r="A168" s="16"/>
      <c r="B168" s="16"/>
      <c r="C168" s="16"/>
      <c r="D168" s="16"/>
      <c r="E168" s="16"/>
      <c r="F168" s="16"/>
      <c r="G168" s="16"/>
      <c r="H168" s="16"/>
      <c r="I168" s="16"/>
      <c r="J168" s="16"/>
      <c r="K168" s="16"/>
      <c r="L168" s="16"/>
      <c r="M168" s="16"/>
      <c r="N168" s="16"/>
      <c r="O168" s="16"/>
      <c r="P168" s="16"/>
      <c r="Q168" s="16"/>
      <c r="R168" s="16"/>
    </row>
    <row r="169" ht="15.75" customHeight="1">
      <c r="A169" s="16"/>
      <c r="B169" s="16"/>
      <c r="C169" s="16"/>
      <c r="D169" s="16"/>
      <c r="E169" s="16"/>
      <c r="F169" s="16"/>
      <c r="G169" s="16"/>
      <c r="H169" s="16"/>
      <c r="I169" s="16"/>
      <c r="J169" s="16"/>
      <c r="K169" s="16"/>
      <c r="L169" s="16"/>
      <c r="M169" s="16"/>
      <c r="N169" s="16"/>
      <c r="O169" s="16"/>
      <c r="P169" s="16"/>
      <c r="Q169" s="16"/>
      <c r="R169" s="16"/>
    </row>
    <row r="170" ht="15.75" customHeight="1">
      <c r="A170" s="16"/>
      <c r="B170" s="16"/>
      <c r="C170" s="16"/>
      <c r="D170" s="16"/>
      <c r="E170" s="16"/>
      <c r="F170" s="16"/>
      <c r="G170" s="16"/>
      <c r="H170" s="16"/>
      <c r="I170" s="16"/>
      <c r="J170" s="16"/>
      <c r="K170" s="16"/>
      <c r="L170" s="16"/>
      <c r="M170" s="16"/>
      <c r="N170" s="16"/>
      <c r="O170" s="16"/>
      <c r="P170" s="16"/>
      <c r="Q170" s="16"/>
      <c r="R170" s="16"/>
    </row>
    <row r="171" ht="15.75" customHeight="1">
      <c r="A171" s="16"/>
      <c r="B171" s="16"/>
      <c r="C171" s="16"/>
      <c r="D171" s="16"/>
      <c r="E171" s="16"/>
      <c r="F171" s="16"/>
      <c r="G171" s="16"/>
      <c r="H171" s="16"/>
      <c r="I171" s="16"/>
      <c r="J171" s="16"/>
      <c r="K171" s="16"/>
      <c r="L171" s="16"/>
      <c r="M171" s="16"/>
      <c r="N171" s="16"/>
      <c r="O171" s="16"/>
      <c r="P171" s="16"/>
      <c r="Q171" s="16"/>
      <c r="R171" s="16"/>
    </row>
    <row r="172" ht="15.75" customHeight="1">
      <c r="A172" s="16"/>
      <c r="B172" s="16"/>
      <c r="C172" s="16"/>
      <c r="D172" s="16"/>
      <c r="E172" s="16"/>
      <c r="F172" s="16"/>
      <c r="G172" s="16"/>
      <c r="H172" s="16"/>
      <c r="I172" s="16"/>
      <c r="J172" s="16"/>
      <c r="K172" s="16"/>
      <c r="L172" s="16"/>
      <c r="M172" s="16"/>
      <c r="N172" s="16"/>
      <c r="O172" s="16"/>
      <c r="P172" s="16"/>
      <c r="Q172" s="16"/>
      <c r="R172" s="16"/>
    </row>
    <row r="173" ht="15.75" customHeight="1">
      <c r="A173" s="16"/>
      <c r="B173" s="16"/>
      <c r="C173" s="16"/>
      <c r="D173" s="16"/>
      <c r="E173" s="16"/>
      <c r="F173" s="16"/>
      <c r="G173" s="16"/>
      <c r="H173" s="16"/>
      <c r="I173" s="16"/>
      <c r="J173" s="16"/>
      <c r="K173" s="16"/>
      <c r="L173" s="16"/>
      <c r="M173" s="16"/>
      <c r="N173" s="16"/>
      <c r="O173" s="16"/>
      <c r="P173" s="16"/>
      <c r="Q173" s="16"/>
      <c r="R173" s="16"/>
    </row>
    <row r="174" ht="15.75" customHeight="1">
      <c r="A174" s="16"/>
      <c r="B174" s="16"/>
      <c r="C174" s="16"/>
      <c r="D174" s="16"/>
      <c r="E174" s="16"/>
      <c r="F174" s="16"/>
      <c r="G174" s="16"/>
      <c r="H174" s="16"/>
      <c r="I174" s="16"/>
      <c r="J174" s="16"/>
      <c r="K174" s="16"/>
      <c r="L174" s="16"/>
      <c r="M174" s="16"/>
      <c r="N174" s="16"/>
      <c r="O174" s="16"/>
      <c r="P174" s="16"/>
      <c r="Q174" s="16"/>
      <c r="R174" s="16"/>
    </row>
    <row r="175" ht="15.75" customHeight="1">
      <c r="A175" s="16"/>
      <c r="B175" s="16"/>
      <c r="C175" s="16"/>
      <c r="D175" s="16"/>
      <c r="E175" s="16"/>
      <c r="F175" s="16"/>
      <c r="G175" s="16"/>
      <c r="H175" s="16"/>
      <c r="I175" s="16"/>
      <c r="J175" s="16"/>
      <c r="K175" s="16"/>
      <c r="L175" s="16"/>
      <c r="M175" s="16"/>
      <c r="N175" s="16"/>
      <c r="O175" s="16"/>
      <c r="P175" s="16"/>
      <c r="Q175" s="16"/>
      <c r="R175" s="16"/>
    </row>
    <row r="176" ht="15.75" customHeight="1">
      <c r="A176" s="16"/>
      <c r="B176" s="16"/>
      <c r="C176" s="16"/>
      <c r="D176" s="16"/>
      <c r="E176" s="16"/>
      <c r="F176" s="16"/>
      <c r="G176" s="16"/>
      <c r="H176" s="16"/>
      <c r="I176" s="16"/>
      <c r="J176" s="16"/>
      <c r="K176" s="16"/>
      <c r="L176" s="16"/>
      <c r="M176" s="16"/>
      <c r="N176" s="16"/>
      <c r="O176" s="16"/>
      <c r="P176" s="16"/>
      <c r="Q176" s="16"/>
      <c r="R176" s="16"/>
    </row>
    <row r="177" ht="15.75" customHeight="1">
      <c r="A177" s="16"/>
      <c r="B177" s="16"/>
      <c r="C177" s="16"/>
      <c r="D177" s="16"/>
      <c r="E177" s="16"/>
      <c r="F177" s="16"/>
      <c r="G177" s="16"/>
      <c r="H177" s="16"/>
      <c r="I177" s="16"/>
      <c r="J177" s="16"/>
      <c r="K177" s="16"/>
      <c r="L177" s="16"/>
      <c r="M177" s="16"/>
      <c r="N177" s="16"/>
      <c r="O177" s="16"/>
      <c r="P177" s="16"/>
      <c r="Q177" s="16"/>
      <c r="R177" s="16"/>
    </row>
    <row r="178" ht="15.75" customHeight="1">
      <c r="A178" s="16"/>
      <c r="B178" s="16"/>
      <c r="C178" s="16"/>
      <c r="D178" s="16"/>
      <c r="E178" s="16"/>
      <c r="F178" s="16"/>
      <c r="G178" s="16"/>
      <c r="H178" s="16"/>
      <c r="I178" s="16"/>
      <c r="J178" s="16"/>
      <c r="K178" s="16"/>
      <c r="L178" s="16"/>
      <c r="M178" s="16"/>
      <c r="N178" s="16"/>
      <c r="O178" s="16"/>
      <c r="P178" s="16"/>
      <c r="Q178" s="16"/>
      <c r="R178" s="16"/>
    </row>
    <row r="179" ht="15.75" customHeight="1">
      <c r="A179" s="16"/>
      <c r="B179" s="16"/>
      <c r="C179" s="16"/>
      <c r="D179" s="16"/>
      <c r="E179" s="16"/>
      <c r="F179" s="16"/>
      <c r="G179" s="16"/>
      <c r="H179" s="16"/>
      <c r="I179" s="16"/>
      <c r="J179" s="16"/>
      <c r="K179" s="16"/>
      <c r="L179" s="16"/>
      <c r="M179" s="16"/>
      <c r="N179" s="16"/>
      <c r="O179" s="16"/>
      <c r="P179" s="16"/>
      <c r="Q179" s="16"/>
      <c r="R179" s="16"/>
    </row>
    <row r="180" ht="15.75" customHeight="1">
      <c r="A180" s="16"/>
      <c r="B180" s="16"/>
      <c r="C180" s="16"/>
      <c r="D180" s="16"/>
      <c r="E180" s="16"/>
      <c r="F180" s="16"/>
      <c r="G180" s="16"/>
      <c r="H180" s="16"/>
      <c r="I180" s="16"/>
      <c r="J180" s="16"/>
      <c r="K180" s="16"/>
      <c r="L180" s="16"/>
      <c r="M180" s="16"/>
      <c r="N180" s="16"/>
      <c r="O180" s="16"/>
      <c r="P180" s="16"/>
      <c r="Q180" s="16"/>
      <c r="R180" s="16"/>
    </row>
    <row r="181" ht="15.75" customHeight="1">
      <c r="A181" s="16"/>
      <c r="B181" s="16"/>
      <c r="C181" s="16"/>
      <c r="D181" s="16"/>
      <c r="E181" s="16"/>
      <c r="F181" s="16"/>
      <c r="G181" s="16"/>
      <c r="H181" s="16"/>
      <c r="I181" s="16"/>
      <c r="J181" s="16"/>
      <c r="K181" s="16"/>
      <c r="L181" s="16"/>
      <c r="M181" s="16"/>
      <c r="N181" s="16"/>
      <c r="O181" s="16"/>
      <c r="P181" s="16"/>
      <c r="Q181" s="16"/>
      <c r="R181" s="16"/>
    </row>
    <row r="182" ht="15.75" customHeight="1">
      <c r="A182" s="16"/>
      <c r="B182" s="16"/>
      <c r="C182" s="16"/>
      <c r="D182" s="16"/>
      <c r="E182" s="16"/>
      <c r="F182" s="16"/>
      <c r="G182" s="16"/>
      <c r="H182" s="16"/>
      <c r="I182" s="16"/>
      <c r="J182" s="16"/>
      <c r="K182" s="16"/>
      <c r="L182" s="16"/>
      <c r="M182" s="16"/>
      <c r="N182" s="16"/>
      <c r="O182" s="16"/>
      <c r="P182" s="16"/>
      <c r="Q182" s="16"/>
      <c r="R182" s="16"/>
    </row>
    <row r="183" ht="15.75" customHeight="1">
      <c r="A183" s="16"/>
      <c r="B183" s="16"/>
      <c r="C183" s="16"/>
      <c r="D183" s="16"/>
      <c r="E183" s="16"/>
      <c r="F183" s="16"/>
      <c r="G183" s="16"/>
      <c r="H183" s="16"/>
      <c r="I183" s="16"/>
      <c r="J183" s="16"/>
      <c r="K183" s="16"/>
      <c r="L183" s="16"/>
      <c r="M183" s="16"/>
      <c r="N183" s="16"/>
      <c r="O183" s="16"/>
      <c r="P183" s="16"/>
      <c r="Q183" s="16"/>
      <c r="R183" s="16"/>
    </row>
    <row r="184" ht="15.75" customHeight="1">
      <c r="A184" s="16"/>
      <c r="B184" s="16"/>
      <c r="C184" s="16"/>
      <c r="D184" s="16"/>
      <c r="E184" s="16"/>
      <c r="F184" s="16"/>
      <c r="G184" s="16"/>
      <c r="H184" s="16"/>
      <c r="I184" s="16"/>
      <c r="J184" s="16"/>
      <c r="K184" s="16"/>
      <c r="L184" s="16"/>
      <c r="M184" s="16"/>
      <c r="N184" s="16"/>
      <c r="O184" s="16"/>
      <c r="P184" s="16"/>
      <c r="Q184" s="16"/>
      <c r="R184" s="16"/>
    </row>
    <row r="185" ht="15.75" customHeight="1">
      <c r="A185" s="16"/>
      <c r="B185" s="16"/>
      <c r="C185" s="16"/>
      <c r="D185" s="16"/>
      <c r="E185" s="16"/>
      <c r="F185" s="16"/>
      <c r="G185" s="16"/>
      <c r="H185" s="16"/>
      <c r="I185" s="16"/>
      <c r="J185" s="16"/>
      <c r="K185" s="16"/>
      <c r="L185" s="16"/>
      <c r="M185" s="16"/>
      <c r="N185" s="16"/>
      <c r="O185" s="16"/>
      <c r="P185" s="16"/>
      <c r="Q185" s="16"/>
      <c r="R185" s="16"/>
    </row>
    <row r="186" ht="15.75" customHeight="1">
      <c r="A186" s="16"/>
      <c r="B186" s="16"/>
      <c r="C186" s="16"/>
      <c r="D186" s="16"/>
      <c r="E186" s="16"/>
      <c r="F186" s="16"/>
      <c r="G186" s="16"/>
      <c r="H186" s="16"/>
      <c r="I186" s="16"/>
      <c r="J186" s="16"/>
      <c r="K186" s="16"/>
      <c r="L186" s="16"/>
      <c r="M186" s="16"/>
      <c r="N186" s="16"/>
      <c r="O186" s="16"/>
      <c r="P186" s="16"/>
      <c r="Q186" s="16"/>
      <c r="R186" s="16"/>
    </row>
    <row r="187" ht="15.75" customHeight="1">
      <c r="A187" s="16"/>
      <c r="B187" s="16"/>
      <c r="C187" s="16"/>
      <c r="D187" s="16"/>
      <c r="E187" s="16"/>
      <c r="F187" s="16"/>
      <c r="G187" s="16"/>
      <c r="H187" s="16"/>
      <c r="I187" s="16"/>
      <c r="J187" s="16"/>
      <c r="K187" s="16"/>
      <c r="L187" s="16"/>
      <c r="M187" s="16"/>
      <c r="N187" s="16"/>
      <c r="O187" s="16"/>
      <c r="P187" s="16"/>
      <c r="Q187" s="16"/>
      <c r="R187" s="16"/>
    </row>
    <row r="188" ht="15.75" customHeight="1">
      <c r="A188" s="16"/>
      <c r="B188" s="16"/>
      <c r="C188" s="16"/>
      <c r="D188" s="16"/>
      <c r="E188" s="16"/>
      <c r="F188" s="16"/>
      <c r="G188" s="16"/>
      <c r="H188" s="16"/>
      <c r="I188" s="16"/>
      <c r="J188" s="16"/>
      <c r="K188" s="16"/>
      <c r="L188" s="16"/>
      <c r="M188" s="16"/>
      <c r="N188" s="16"/>
      <c r="O188" s="16"/>
      <c r="P188" s="16"/>
      <c r="Q188" s="16"/>
      <c r="R188" s="16"/>
    </row>
    <row r="189" ht="15.75" customHeight="1">
      <c r="A189" s="16"/>
      <c r="B189" s="16"/>
      <c r="C189" s="16"/>
      <c r="D189" s="16"/>
      <c r="E189" s="16"/>
      <c r="F189" s="16"/>
      <c r="G189" s="16"/>
      <c r="H189" s="16"/>
      <c r="I189" s="16"/>
      <c r="J189" s="16"/>
      <c r="K189" s="16"/>
      <c r="L189" s="16"/>
      <c r="M189" s="16"/>
      <c r="N189" s="16"/>
      <c r="O189" s="16"/>
      <c r="P189" s="16"/>
      <c r="Q189" s="16"/>
      <c r="R189" s="16"/>
    </row>
    <row r="190" ht="15.75" customHeight="1">
      <c r="A190" s="16"/>
      <c r="B190" s="16"/>
      <c r="C190" s="16"/>
      <c r="D190" s="16"/>
      <c r="E190" s="16"/>
      <c r="F190" s="16"/>
      <c r="G190" s="16"/>
      <c r="H190" s="16"/>
      <c r="I190" s="16"/>
      <c r="J190" s="16"/>
      <c r="K190" s="16"/>
      <c r="L190" s="16"/>
      <c r="M190" s="16"/>
      <c r="N190" s="16"/>
      <c r="O190" s="16"/>
      <c r="P190" s="16"/>
      <c r="Q190" s="16"/>
      <c r="R190" s="16"/>
    </row>
    <row r="191" ht="15.75" customHeight="1">
      <c r="A191" s="16"/>
      <c r="B191" s="16"/>
      <c r="C191" s="16"/>
      <c r="D191" s="16"/>
      <c r="E191" s="16"/>
      <c r="F191" s="16"/>
      <c r="G191" s="16"/>
      <c r="H191" s="16"/>
      <c r="I191" s="16"/>
      <c r="J191" s="16"/>
      <c r="K191" s="16"/>
      <c r="L191" s="16"/>
      <c r="M191" s="16"/>
      <c r="N191" s="16"/>
      <c r="O191" s="16"/>
      <c r="P191" s="16"/>
      <c r="Q191" s="16"/>
      <c r="R191" s="16"/>
    </row>
    <row r="192" ht="15.75" customHeight="1">
      <c r="A192" s="16"/>
      <c r="B192" s="16"/>
      <c r="C192" s="16"/>
      <c r="D192" s="16"/>
      <c r="E192" s="16"/>
      <c r="F192" s="16"/>
      <c r="G192" s="16"/>
      <c r="H192" s="16"/>
      <c r="I192" s="16"/>
      <c r="J192" s="16"/>
      <c r="K192" s="16"/>
      <c r="L192" s="16"/>
      <c r="M192" s="16"/>
      <c r="N192" s="16"/>
      <c r="O192" s="16"/>
      <c r="P192" s="16"/>
      <c r="Q192" s="16"/>
      <c r="R192" s="16"/>
    </row>
    <row r="193" ht="15.75" customHeight="1">
      <c r="A193" s="16"/>
      <c r="B193" s="16"/>
      <c r="C193" s="16"/>
      <c r="D193" s="16"/>
      <c r="E193" s="16"/>
      <c r="F193" s="16"/>
      <c r="G193" s="16"/>
      <c r="H193" s="16"/>
      <c r="I193" s="16"/>
      <c r="J193" s="16"/>
      <c r="K193" s="16"/>
      <c r="L193" s="16"/>
      <c r="M193" s="16"/>
      <c r="N193" s="16"/>
      <c r="O193" s="16"/>
      <c r="P193" s="16"/>
      <c r="Q193" s="16"/>
      <c r="R193" s="16"/>
    </row>
    <row r="194" ht="15.75" customHeight="1">
      <c r="A194" s="16"/>
      <c r="B194" s="16"/>
      <c r="C194" s="16"/>
      <c r="D194" s="16"/>
      <c r="E194" s="16"/>
      <c r="F194" s="16"/>
      <c r="G194" s="16"/>
      <c r="H194" s="16"/>
      <c r="I194" s="16"/>
      <c r="J194" s="16"/>
      <c r="K194" s="16"/>
      <c r="L194" s="16"/>
      <c r="M194" s="16"/>
      <c r="N194" s="16"/>
      <c r="O194" s="16"/>
      <c r="P194" s="16"/>
      <c r="Q194" s="16"/>
      <c r="R194" s="16"/>
    </row>
    <row r="195" ht="15.75" customHeight="1">
      <c r="A195" s="16"/>
      <c r="B195" s="16"/>
      <c r="C195" s="16"/>
      <c r="D195" s="16"/>
      <c r="E195" s="16"/>
      <c r="F195" s="16"/>
      <c r="G195" s="16"/>
      <c r="H195" s="16"/>
      <c r="I195" s="16"/>
      <c r="J195" s="16"/>
      <c r="K195" s="16"/>
      <c r="L195" s="16"/>
      <c r="M195" s="16"/>
      <c r="N195" s="16"/>
      <c r="O195" s="16"/>
      <c r="P195" s="16"/>
      <c r="Q195" s="16"/>
      <c r="R195" s="16"/>
    </row>
    <row r="196" ht="15.75" customHeight="1">
      <c r="A196" s="16"/>
      <c r="B196" s="16"/>
      <c r="C196" s="16"/>
      <c r="D196" s="16"/>
      <c r="E196" s="16"/>
      <c r="F196" s="16"/>
      <c r="G196" s="16"/>
      <c r="H196" s="16"/>
      <c r="I196" s="16"/>
      <c r="J196" s="16"/>
      <c r="K196" s="16"/>
      <c r="L196" s="16"/>
      <c r="M196" s="16"/>
      <c r="N196" s="16"/>
      <c r="O196" s="16"/>
      <c r="P196" s="16"/>
      <c r="Q196" s="16"/>
      <c r="R196" s="16"/>
    </row>
    <row r="197" ht="15.75" customHeight="1">
      <c r="A197" s="16"/>
      <c r="B197" s="16"/>
      <c r="C197" s="16"/>
      <c r="D197" s="16"/>
      <c r="E197" s="16"/>
      <c r="F197" s="16"/>
      <c r="G197" s="16"/>
      <c r="H197" s="16"/>
      <c r="I197" s="16"/>
      <c r="J197" s="16"/>
      <c r="K197" s="16"/>
      <c r="L197" s="16"/>
      <c r="M197" s="16"/>
      <c r="N197" s="16"/>
      <c r="O197" s="16"/>
      <c r="P197" s="16"/>
      <c r="Q197" s="16"/>
      <c r="R197" s="16"/>
    </row>
    <row r="198" ht="15.75" customHeight="1">
      <c r="A198" s="16"/>
      <c r="B198" s="16"/>
      <c r="C198" s="16"/>
      <c r="D198" s="16"/>
      <c r="E198" s="16"/>
      <c r="F198" s="16"/>
      <c r="G198" s="16"/>
      <c r="H198" s="16"/>
      <c r="I198" s="16"/>
      <c r="J198" s="16"/>
      <c r="K198" s="16"/>
      <c r="L198" s="16"/>
      <c r="M198" s="16"/>
      <c r="N198" s="16"/>
      <c r="O198" s="16"/>
      <c r="P198" s="16"/>
      <c r="Q198" s="16"/>
      <c r="R198" s="16"/>
    </row>
    <row r="199" ht="15.75" customHeight="1">
      <c r="A199" s="16"/>
      <c r="B199" s="16"/>
      <c r="C199" s="16"/>
      <c r="D199" s="16"/>
      <c r="E199" s="16"/>
      <c r="F199" s="16"/>
      <c r="G199" s="16"/>
      <c r="H199" s="16"/>
      <c r="I199" s="16"/>
      <c r="J199" s="16"/>
      <c r="K199" s="16"/>
      <c r="L199" s="16"/>
      <c r="M199" s="16"/>
      <c r="N199" s="16"/>
      <c r="O199" s="16"/>
      <c r="P199" s="16"/>
      <c r="Q199" s="16"/>
      <c r="R199" s="16"/>
    </row>
    <row r="200" ht="15.75" customHeight="1">
      <c r="A200" s="16"/>
      <c r="B200" s="16"/>
      <c r="C200" s="16"/>
      <c r="D200" s="16"/>
      <c r="E200" s="16"/>
      <c r="F200" s="16"/>
      <c r="G200" s="16"/>
      <c r="H200" s="16"/>
      <c r="I200" s="16"/>
      <c r="J200" s="16"/>
      <c r="K200" s="16"/>
      <c r="L200" s="16"/>
      <c r="M200" s="16"/>
      <c r="N200" s="16"/>
      <c r="O200" s="16"/>
      <c r="P200" s="16"/>
      <c r="Q200" s="16"/>
      <c r="R200" s="16"/>
    </row>
    <row r="201" ht="15.75" customHeight="1">
      <c r="A201" s="16"/>
      <c r="B201" s="16"/>
      <c r="C201" s="16"/>
      <c r="D201" s="16"/>
      <c r="E201" s="16"/>
      <c r="F201" s="16"/>
      <c r="G201" s="16"/>
      <c r="H201" s="16"/>
      <c r="I201" s="16"/>
      <c r="J201" s="16"/>
      <c r="K201" s="16"/>
      <c r="L201" s="16"/>
      <c r="M201" s="16"/>
      <c r="N201" s="16"/>
      <c r="O201" s="16"/>
      <c r="P201" s="16"/>
      <c r="Q201" s="16"/>
      <c r="R201" s="16"/>
    </row>
    <row r="202" ht="15.75" customHeight="1">
      <c r="A202" s="16"/>
      <c r="B202" s="16"/>
      <c r="C202" s="16"/>
      <c r="D202" s="16"/>
      <c r="E202" s="16"/>
      <c r="F202" s="16"/>
      <c r="G202" s="16"/>
      <c r="H202" s="16"/>
      <c r="I202" s="16"/>
      <c r="J202" s="16"/>
      <c r="K202" s="16"/>
      <c r="L202" s="16"/>
      <c r="M202" s="16"/>
      <c r="N202" s="16"/>
      <c r="O202" s="16"/>
      <c r="P202" s="16"/>
      <c r="Q202" s="16"/>
      <c r="R202" s="16"/>
    </row>
    <row r="203" ht="15.75" customHeight="1">
      <c r="A203" s="16"/>
      <c r="B203" s="16"/>
      <c r="C203" s="16"/>
      <c r="D203" s="16"/>
      <c r="E203" s="16"/>
      <c r="F203" s="16"/>
      <c r="G203" s="16"/>
      <c r="H203" s="16"/>
      <c r="I203" s="16"/>
      <c r="J203" s="16"/>
      <c r="K203" s="16"/>
      <c r="L203" s="16"/>
      <c r="M203" s="16"/>
      <c r="N203" s="16"/>
      <c r="O203" s="16"/>
      <c r="P203" s="16"/>
      <c r="Q203" s="16"/>
      <c r="R203" s="16"/>
    </row>
    <row r="204" ht="15.75" customHeight="1">
      <c r="A204" s="16"/>
      <c r="B204" s="16"/>
      <c r="C204" s="16"/>
      <c r="D204" s="16"/>
      <c r="E204" s="16"/>
      <c r="F204" s="16"/>
      <c r="G204" s="16"/>
      <c r="H204" s="16"/>
      <c r="I204" s="16"/>
      <c r="J204" s="16"/>
      <c r="K204" s="16"/>
      <c r="L204" s="16"/>
      <c r="M204" s="16"/>
      <c r="N204" s="16"/>
      <c r="O204" s="16"/>
      <c r="P204" s="16"/>
      <c r="Q204" s="16"/>
      <c r="R204" s="16"/>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3:$R$204"/>
  <conditionalFormatting sqref="B4:R204">
    <cfRule type="expression" dxfId="0" priority="1">
      <formula>AND($A4&lt;&gt;"",B4="")</formula>
    </cfRule>
  </conditionalFormatting>
  <dataValidations>
    <dataValidation type="list" allowBlank="1" sqref="F4:F204">
      <formula1>"Obrigatoriedade,Validação,Restrição,Autenticação/Fluxo"</formula1>
    </dataValidation>
    <dataValidation type="list" allowBlank="1" sqref="J4:J204">
      <formula1>"Sim,Não"</formula1>
    </dataValidation>
    <dataValidation type="list" allowBlank="1" sqref="O4:O204">
      <formula1>"Rascunho,Em revisão,Revisado,Congelado"</formula1>
    </dataValidation>
    <dataValidation type="list" allowBlank="1" sqref="I4:I204">
      <formula1>"Negativo,Exceção,Positivo"</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16.0"/>
    <col customWidth="1" min="3" max="5" width="18.0"/>
    <col customWidth="1" min="6" max="6" width="34.0"/>
    <col customWidth="1" min="7" max="7" width="18.0"/>
    <col customWidth="1" min="8" max="8" width="14.0"/>
    <col customWidth="1" min="9" max="9" width="30.0"/>
    <col customWidth="1" min="10" max="23" width="8.71"/>
  </cols>
  <sheetData>
    <row r="1">
      <c r="A1" s="17" t="s">
        <v>28</v>
      </c>
    </row>
    <row r="2">
      <c r="A2" s="2" t="s">
        <v>40</v>
      </c>
    </row>
    <row r="3" ht="31.5" customHeight="1">
      <c r="A3" s="12" t="s">
        <v>32</v>
      </c>
      <c r="B3" s="12" t="s">
        <v>53</v>
      </c>
      <c r="C3" s="12" t="s">
        <v>56</v>
      </c>
      <c r="D3" s="12" t="s">
        <v>59</v>
      </c>
      <c r="E3" s="12" t="s">
        <v>60</v>
      </c>
      <c r="F3" s="12" t="s">
        <v>63</v>
      </c>
      <c r="G3" s="12" t="s">
        <v>68</v>
      </c>
      <c r="H3" s="12" t="s">
        <v>52</v>
      </c>
      <c r="I3" s="12" t="s">
        <v>23</v>
      </c>
    </row>
    <row r="4">
      <c r="A4" s="24" t="s">
        <v>25</v>
      </c>
      <c r="B4" s="24" t="s">
        <v>82</v>
      </c>
      <c r="C4" s="24" t="s">
        <v>84</v>
      </c>
      <c r="D4" s="24" t="s">
        <v>85</v>
      </c>
      <c r="E4" s="24" t="s">
        <v>86</v>
      </c>
      <c r="F4" s="24" t="s">
        <v>87</v>
      </c>
      <c r="G4" s="24" t="s">
        <v>75</v>
      </c>
      <c r="H4" s="24" t="s">
        <v>91</v>
      </c>
      <c r="I4" s="24" t="s">
        <v>93</v>
      </c>
    </row>
    <row r="5">
      <c r="A5" s="24" t="s">
        <v>25</v>
      </c>
      <c r="B5" s="24" t="s">
        <v>96</v>
      </c>
      <c r="C5" s="24" t="s">
        <v>97</v>
      </c>
      <c r="D5" s="24" t="s">
        <v>85</v>
      </c>
      <c r="E5" s="24" t="s">
        <v>86</v>
      </c>
      <c r="F5" s="24" t="s">
        <v>99</v>
      </c>
      <c r="G5" s="24" t="s">
        <v>100</v>
      </c>
      <c r="H5" s="24" t="s">
        <v>91</v>
      </c>
      <c r="I5" s="24" t="s">
        <v>106</v>
      </c>
    </row>
    <row r="6">
      <c r="A6" s="24" t="s">
        <v>25</v>
      </c>
      <c r="B6" s="24" t="s">
        <v>111</v>
      </c>
      <c r="C6" s="24" t="s">
        <v>112</v>
      </c>
      <c r="D6" s="24" t="s">
        <v>114</v>
      </c>
      <c r="E6" s="24" t="s">
        <v>86</v>
      </c>
      <c r="F6" s="24" t="s">
        <v>116</v>
      </c>
      <c r="G6" s="24" t="s">
        <v>118</v>
      </c>
      <c r="H6" s="24" t="s">
        <v>91</v>
      </c>
      <c r="I6" s="24" t="s">
        <v>122</v>
      </c>
    </row>
    <row r="7">
      <c r="A7" s="24" t="s">
        <v>25</v>
      </c>
      <c r="B7" s="24" t="s">
        <v>124</v>
      </c>
      <c r="C7" s="24" t="s">
        <v>126</v>
      </c>
      <c r="D7" s="24" t="s">
        <v>129</v>
      </c>
      <c r="E7" s="24" t="s">
        <v>131</v>
      </c>
      <c r="F7" s="24" t="s">
        <v>116</v>
      </c>
      <c r="G7" s="24" t="s">
        <v>118</v>
      </c>
      <c r="H7" s="24" t="s">
        <v>91</v>
      </c>
      <c r="I7" s="24" t="s">
        <v>136</v>
      </c>
    </row>
    <row r="8">
      <c r="A8" s="24" t="s">
        <v>25</v>
      </c>
      <c r="B8" s="24" t="s">
        <v>139</v>
      </c>
      <c r="C8" s="24" t="s">
        <v>141</v>
      </c>
      <c r="D8" s="24" t="s">
        <v>142</v>
      </c>
      <c r="E8" s="24" t="s">
        <v>144</v>
      </c>
      <c r="F8" s="24" t="s">
        <v>147</v>
      </c>
      <c r="G8" s="24" t="s">
        <v>149</v>
      </c>
      <c r="H8" s="24" t="s">
        <v>150</v>
      </c>
      <c r="I8" s="24" t="s">
        <v>152</v>
      </c>
    </row>
    <row r="9">
      <c r="A9" s="24" t="s">
        <v>25</v>
      </c>
      <c r="B9" s="24" t="s">
        <v>156</v>
      </c>
      <c r="C9" s="24" t="s">
        <v>126</v>
      </c>
      <c r="D9" s="24" t="s">
        <v>158</v>
      </c>
      <c r="E9" s="24" t="s">
        <v>131</v>
      </c>
      <c r="F9" s="24" t="s">
        <v>159</v>
      </c>
      <c r="G9" s="24" t="s">
        <v>161</v>
      </c>
      <c r="H9" s="24" t="s">
        <v>162</v>
      </c>
      <c r="I9" s="24" t="s">
        <v>163</v>
      </c>
    </row>
    <row r="10">
      <c r="A10" s="33"/>
      <c r="B10" s="33"/>
      <c r="C10" s="34"/>
      <c r="D10" s="34"/>
      <c r="E10" s="34"/>
      <c r="F10" s="34"/>
      <c r="G10" s="34"/>
      <c r="H10" s="34"/>
      <c r="I10" s="34"/>
    </row>
    <row r="11">
      <c r="A11" s="24" t="s">
        <v>69</v>
      </c>
      <c r="B11" s="24" t="s">
        <v>184</v>
      </c>
      <c r="C11" s="14" t="s">
        <v>186</v>
      </c>
      <c r="D11" s="14" t="s">
        <v>189</v>
      </c>
      <c r="E11" s="14" t="s">
        <v>190</v>
      </c>
      <c r="F11" s="14" t="s">
        <v>193</v>
      </c>
      <c r="G11" s="14" t="s">
        <v>195</v>
      </c>
      <c r="H11" s="14" t="s">
        <v>162</v>
      </c>
      <c r="I11" s="14" t="s">
        <v>197</v>
      </c>
    </row>
    <row r="12">
      <c r="A12" s="24" t="s">
        <v>69</v>
      </c>
      <c r="B12" s="24" t="s">
        <v>198</v>
      </c>
      <c r="C12" s="14" t="s">
        <v>186</v>
      </c>
      <c r="D12" s="14" t="s">
        <v>199</v>
      </c>
      <c r="E12" s="14" t="s">
        <v>190</v>
      </c>
      <c r="F12" s="14" t="s">
        <v>202</v>
      </c>
      <c r="G12" s="14" t="s">
        <v>204</v>
      </c>
      <c r="H12" s="14" t="s">
        <v>150</v>
      </c>
      <c r="I12" s="14" t="s">
        <v>206</v>
      </c>
    </row>
    <row r="13">
      <c r="A13" s="24" t="s">
        <v>69</v>
      </c>
      <c r="B13" s="24" t="s">
        <v>208</v>
      </c>
      <c r="C13" s="14" t="s">
        <v>210</v>
      </c>
      <c r="D13" s="14" t="s">
        <v>212</v>
      </c>
      <c r="E13" s="14" t="s">
        <v>190</v>
      </c>
      <c r="F13" s="14" t="s">
        <v>215</v>
      </c>
      <c r="G13" s="14" t="s">
        <v>217</v>
      </c>
      <c r="H13" s="14" t="s">
        <v>162</v>
      </c>
      <c r="I13" s="14" t="s">
        <v>219</v>
      </c>
    </row>
    <row r="14">
      <c r="A14" s="24" t="s">
        <v>69</v>
      </c>
      <c r="B14" s="24" t="s">
        <v>222</v>
      </c>
      <c r="C14" s="14" t="s">
        <v>224</v>
      </c>
      <c r="D14" s="14" t="s">
        <v>226</v>
      </c>
      <c r="E14" s="14" t="s">
        <v>190</v>
      </c>
      <c r="F14" s="14" t="s">
        <v>227</v>
      </c>
      <c r="G14" s="14" t="s">
        <v>228</v>
      </c>
      <c r="H14" s="14" t="s">
        <v>162</v>
      </c>
      <c r="I14" s="14" t="s">
        <v>233</v>
      </c>
    </row>
    <row r="15">
      <c r="A15" s="24" t="s">
        <v>69</v>
      </c>
      <c r="B15" s="24" t="s">
        <v>236</v>
      </c>
      <c r="C15" s="14" t="s">
        <v>237</v>
      </c>
      <c r="D15" s="14" t="s">
        <v>238</v>
      </c>
      <c r="E15" s="14" t="s">
        <v>190</v>
      </c>
      <c r="F15" s="14" t="s">
        <v>239</v>
      </c>
      <c r="G15" s="14" t="s">
        <v>240</v>
      </c>
      <c r="H15" s="14" t="s">
        <v>150</v>
      </c>
      <c r="I15" s="14" t="s">
        <v>241</v>
      </c>
    </row>
    <row r="16">
      <c r="A16" s="24" t="s">
        <v>69</v>
      </c>
      <c r="B16" s="24" t="s">
        <v>242</v>
      </c>
      <c r="C16" s="14" t="s">
        <v>243</v>
      </c>
      <c r="D16" s="14" t="s">
        <v>245</v>
      </c>
      <c r="E16" s="14" t="s">
        <v>190</v>
      </c>
      <c r="F16" s="14" t="s">
        <v>246</v>
      </c>
      <c r="G16" s="14" t="s">
        <v>247</v>
      </c>
      <c r="H16" s="14" t="s">
        <v>162</v>
      </c>
      <c r="I16" s="14" t="s">
        <v>251</v>
      </c>
    </row>
    <row r="17">
      <c r="A17" s="24" t="s">
        <v>69</v>
      </c>
      <c r="B17" s="24" t="s">
        <v>253</v>
      </c>
      <c r="C17" s="14" t="s">
        <v>243</v>
      </c>
      <c r="D17" s="14" t="s">
        <v>254</v>
      </c>
      <c r="E17" s="14" t="s">
        <v>256</v>
      </c>
      <c r="F17" s="14" t="s">
        <v>259</v>
      </c>
      <c r="G17" s="14" t="s">
        <v>260</v>
      </c>
      <c r="H17" s="14" t="s">
        <v>162</v>
      </c>
      <c r="I17" s="14" t="s">
        <v>262</v>
      </c>
    </row>
    <row r="18">
      <c r="A18" s="39"/>
      <c r="B18" s="39"/>
      <c r="C18" s="39"/>
      <c r="D18" s="39"/>
      <c r="E18" s="39"/>
      <c r="F18" s="39"/>
      <c r="G18" s="39"/>
      <c r="H18" s="39"/>
      <c r="I18" s="39"/>
    </row>
    <row r="19">
      <c r="A19" s="24" t="s">
        <v>76</v>
      </c>
      <c r="B19" s="24" t="s">
        <v>264</v>
      </c>
      <c r="C19" s="14" t="s">
        <v>269</v>
      </c>
      <c r="D19" s="14" t="s">
        <v>270</v>
      </c>
      <c r="E19" s="14" t="s">
        <v>271</v>
      </c>
      <c r="F19" s="14" t="s">
        <v>272</v>
      </c>
      <c r="G19" s="14" t="s">
        <v>273</v>
      </c>
      <c r="H19" s="14" t="s">
        <v>91</v>
      </c>
      <c r="I19" s="14" t="s">
        <v>274</v>
      </c>
    </row>
    <row r="20" ht="15.75" customHeight="1">
      <c r="A20" s="24" t="s">
        <v>76</v>
      </c>
      <c r="B20" s="24" t="s">
        <v>275</v>
      </c>
      <c r="C20" s="14" t="s">
        <v>276</v>
      </c>
      <c r="D20" s="14" t="s">
        <v>270</v>
      </c>
      <c r="E20" s="14" t="s">
        <v>271</v>
      </c>
      <c r="F20" s="14" t="s">
        <v>277</v>
      </c>
      <c r="G20" s="14" t="s">
        <v>278</v>
      </c>
      <c r="H20" s="14" t="s">
        <v>91</v>
      </c>
      <c r="I20" s="14" t="s">
        <v>279</v>
      </c>
    </row>
    <row r="21" ht="15.75" customHeight="1">
      <c r="A21" s="24" t="s">
        <v>76</v>
      </c>
      <c r="B21" s="24" t="s">
        <v>280</v>
      </c>
      <c r="C21" s="14" t="s">
        <v>276</v>
      </c>
      <c r="D21" s="14" t="s">
        <v>281</v>
      </c>
      <c r="E21" s="14" t="s">
        <v>271</v>
      </c>
      <c r="F21" s="14" t="s">
        <v>282</v>
      </c>
      <c r="G21" s="14" t="s">
        <v>283</v>
      </c>
      <c r="H21" s="14" t="s">
        <v>162</v>
      </c>
      <c r="I21" s="14" t="s">
        <v>286</v>
      </c>
    </row>
    <row r="22" ht="15.75" customHeight="1">
      <c r="A22" s="24" t="s">
        <v>76</v>
      </c>
      <c r="B22" s="24" t="s">
        <v>288</v>
      </c>
      <c r="C22" s="14" t="s">
        <v>276</v>
      </c>
      <c r="D22" s="14" t="s">
        <v>281</v>
      </c>
      <c r="E22" s="14" t="s">
        <v>291</v>
      </c>
      <c r="F22" s="14" t="s">
        <v>292</v>
      </c>
      <c r="G22" s="14" t="s">
        <v>294</v>
      </c>
      <c r="H22" s="14" t="s">
        <v>162</v>
      </c>
      <c r="I22" s="14" t="s">
        <v>298</v>
      </c>
    </row>
    <row r="23" ht="15.75" customHeight="1">
      <c r="A23" s="24" t="s">
        <v>76</v>
      </c>
      <c r="B23" s="24" t="s">
        <v>299</v>
      </c>
      <c r="C23" s="14" t="s">
        <v>300</v>
      </c>
      <c r="D23" s="14" t="s">
        <v>301</v>
      </c>
      <c r="E23" s="14" t="s">
        <v>86</v>
      </c>
      <c r="F23" s="14" t="s">
        <v>304</v>
      </c>
      <c r="G23" s="14" t="s">
        <v>306</v>
      </c>
      <c r="H23" s="14" t="s">
        <v>162</v>
      </c>
      <c r="I23" s="14" t="s">
        <v>307</v>
      </c>
    </row>
    <row r="24" ht="15.75" customHeight="1">
      <c r="A24" s="24" t="s">
        <v>76</v>
      </c>
      <c r="B24" s="24" t="s">
        <v>310</v>
      </c>
      <c r="C24" s="14" t="s">
        <v>311</v>
      </c>
      <c r="D24" s="14" t="s">
        <v>312</v>
      </c>
      <c r="E24" s="14" t="s">
        <v>314</v>
      </c>
      <c r="F24" s="14" t="s">
        <v>316</v>
      </c>
      <c r="G24" s="14" t="s">
        <v>318</v>
      </c>
      <c r="H24" s="14" t="s">
        <v>162</v>
      </c>
      <c r="I24" s="14" t="s">
        <v>319</v>
      </c>
    </row>
    <row r="25" ht="15.75" customHeight="1">
      <c r="A25" s="24" t="s">
        <v>76</v>
      </c>
      <c r="B25" s="24" t="s">
        <v>320</v>
      </c>
      <c r="C25" s="14" t="s">
        <v>322</v>
      </c>
      <c r="D25" s="14" t="s">
        <v>325</v>
      </c>
      <c r="E25" s="14" t="s">
        <v>86</v>
      </c>
      <c r="F25" s="14" t="s">
        <v>327</v>
      </c>
      <c r="G25" s="14" t="s">
        <v>329</v>
      </c>
      <c r="H25" s="14" t="s">
        <v>162</v>
      </c>
      <c r="I25" s="14" t="s">
        <v>331</v>
      </c>
    </row>
    <row r="26" ht="15.75" customHeight="1">
      <c r="A26" s="24" t="s">
        <v>76</v>
      </c>
      <c r="B26" s="24" t="s">
        <v>333</v>
      </c>
      <c r="C26" s="14" t="s">
        <v>322</v>
      </c>
      <c r="D26" s="14" t="s">
        <v>335</v>
      </c>
      <c r="E26" s="14" t="s">
        <v>86</v>
      </c>
      <c r="F26" s="14" t="s">
        <v>336</v>
      </c>
      <c r="G26" s="14" t="s">
        <v>337</v>
      </c>
      <c r="H26" s="14" t="s">
        <v>162</v>
      </c>
      <c r="I26" s="14" t="s">
        <v>336</v>
      </c>
    </row>
    <row r="27" ht="15.75" customHeight="1">
      <c r="A27" s="16"/>
      <c r="B27" s="24"/>
      <c r="C27" s="16"/>
      <c r="D27" s="16"/>
      <c r="E27" s="16"/>
      <c r="F27" s="16"/>
      <c r="G27" s="16"/>
      <c r="H27" s="16"/>
      <c r="I27" s="16"/>
    </row>
    <row r="28" ht="15.75" customHeight="1">
      <c r="A28" s="16"/>
      <c r="B28" s="24"/>
      <c r="C28" s="16"/>
      <c r="D28" s="16"/>
      <c r="E28" s="16"/>
      <c r="F28" s="16"/>
      <c r="G28" s="16"/>
      <c r="H28" s="16"/>
      <c r="I28" s="16"/>
    </row>
    <row r="29" ht="15.75" customHeight="1">
      <c r="A29" s="16"/>
      <c r="B29" s="24"/>
      <c r="C29" s="16"/>
      <c r="D29" s="16"/>
      <c r="E29" s="16"/>
      <c r="F29" s="16"/>
      <c r="G29" s="16"/>
      <c r="H29" s="16"/>
      <c r="I29" s="16"/>
    </row>
    <row r="30" ht="15.75" customHeight="1">
      <c r="A30" s="16"/>
      <c r="B30" s="16"/>
      <c r="C30" s="16"/>
      <c r="D30" s="16"/>
      <c r="E30" s="16"/>
      <c r="F30" s="16"/>
      <c r="G30" s="16"/>
      <c r="H30" s="16"/>
      <c r="I30" s="16"/>
    </row>
    <row r="31" ht="15.75" customHeight="1">
      <c r="A31" s="16"/>
      <c r="B31" s="16"/>
      <c r="C31" s="16"/>
      <c r="D31" s="16"/>
      <c r="E31" s="16"/>
      <c r="F31" s="16"/>
      <c r="G31" s="16"/>
      <c r="H31" s="16"/>
      <c r="I31" s="16"/>
    </row>
    <row r="32" ht="15.75" customHeight="1">
      <c r="A32" s="16"/>
      <c r="B32" s="16"/>
      <c r="C32" s="16"/>
      <c r="D32" s="16"/>
      <c r="E32" s="16"/>
      <c r="F32" s="16"/>
      <c r="G32" s="16"/>
      <c r="H32" s="16"/>
      <c r="I32" s="16"/>
    </row>
    <row r="33" ht="15.75" customHeight="1">
      <c r="A33" s="16"/>
      <c r="B33" s="16"/>
      <c r="C33" s="16"/>
      <c r="D33" s="16"/>
      <c r="E33" s="16"/>
      <c r="F33" s="16"/>
      <c r="G33" s="16"/>
      <c r="H33" s="16"/>
      <c r="I33" s="16"/>
    </row>
    <row r="34" ht="15.75" customHeight="1">
      <c r="A34" s="16"/>
      <c r="B34" s="16"/>
      <c r="C34" s="16"/>
      <c r="D34" s="16"/>
      <c r="E34" s="16"/>
      <c r="F34" s="16"/>
      <c r="G34" s="16"/>
      <c r="H34" s="16"/>
      <c r="I34" s="16"/>
    </row>
    <row r="35" ht="15.75" customHeight="1">
      <c r="A35" s="16"/>
      <c r="B35" s="16"/>
      <c r="C35" s="16"/>
      <c r="D35" s="16"/>
      <c r="E35" s="16"/>
      <c r="F35" s="16"/>
      <c r="G35" s="16"/>
      <c r="H35" s="16"/>
      <c r="I35" s="16"/>
    </row>
    <row r="36" ht="15.75" customHeight="1">
      <c r="A36" s="16"/>
      <c r="B36" s="16"/>
      <c r="C36" s="16"/>
      <c r="D36" s="16"/>
      <c r="E36" s="16"/>
      <c r="F36" s="16"/>
      <c r="G36" s="16"/>
      <c r="H36" s="16"/>
      <c r="I36" s="16"/>
    </row>
    <row r="37" ht="15.75" customHeight="1">
      <c r="A37" s="16"/>
      <c r="B37" s="16"/>
      <c r="C37" s="16"/>
      <c r="D37" s="16"/>
      <c r="E37" s="16"/>
      <c r="F37" s="16"/>
      <c r="G37" s="16"/>
      <c r="H37" s="16"/>
      <c r="I37" s="16"/>
    </row>
    <row r="38" ht="15.75" customHeight="1">
      <c r="A38" s="16"/>
      <c r="B38" s="16"/>
      <c r="C38" s="16"/>
      <c r="D38" s="16"/>
      <c r="E38" s="16"/>
      <c r="F38" s="16"/>
      <c r="G38" s="16"/>
      <c r="H38" s="16"/>
      <c r="I38" s="16"/>
    </row>
    <row r="39" ht="15.75" customHeight="1">
      <c r="A39" s="16"/>
      <c r="B39" s="16"/>
      <c r="C39" s="16"/>
      <c r="D39" s="16"/>
      <c r="E39" s="16"/>
      <c r="F39" s="16"/>
      <c r="G39" s="16"/>
      <c r="H39" s="16"/>
      <c r="I39" s="16"/>
    </row>
    <row r="40" ht="15.75" customHeight="1">
      <c r="A40" s="16"/>
      <c r="B40" s="16"/>
      <c r="C40" s="16"/>
      <c r="D40" s="16"/>
      <c r="E40" s="16"/>
      <c r="F40" s="16"/>
      <c r="G40" s="16"/>
      <c r="H40" s="16"/>
      <c r="I40" s="16"/>
    </row>
    <row r="41" ht="15.75" customHeight="1">
      <c r="A41" s="16"/>
      <c r="B41" s="16"/>
      <c r="C41" s="16"/>
      <c r="D41" s="16"/>
      <c r="E41" s="16"/>
      <c r="F41" s="16"/>
      <c r="G41" s="16"/>
      <c r="H41" s="16"/>
      <c r="I41" s="16"/>
    </row>
    <row r="42" ht="15.75" customHeight="1">
      <c r="A42" s="16"/>
      <c r="B42" s="16"/>
      <c r="C42" s="16"/>
      <c r="D42" s="16"/>
      <c r="E42" s="16"/>
      <c r="F42" s="16"/>
      <c r="G42" s="16"/>
      <c r="H42" s="16"/>
      <c r="I42" s="16"/>
    </row>
    <row r="43" ht="15.75" customHeight="1">
      <c r="A43" s="16"/>
      <c r="B43" s="16"/>
      <c r="C43" s="16"/>
      <c r="D43" s="16"/>
      <c r="E43" s="16"/>
      <c r="F43" s="16"/>
      <c r="G43" s="16"/>
      <c r="H43" s="16"/>
      <c r="I43" s="16"/>
    </row>
    <row r="44" ht="15.75" customHeight="1">
      <c r="A44" s="16"/>
      <c r="B44" s="16"/>
      <c r="C44" s="16"/>
      <c r="D44" s="16"/>
      <c r="E44" s="16"/>
      <c r="F44" s="16"/>
      <c r="G44" s="16"/>
      <c r="H44" s="16"/>
      <c r="I44" s="16"/>
    </row>
    <row r="45" ht="15.75" customHeight="1">
      <c r="A45" s="16"/>
      <c r="B45" s="16"/>
      <c r="C45" s="16"/>
      <c r="D45" s="16"/>
      <c r="E45" s="16"/>
      <c r="F45" s="16"/>
      <c r="G45" s="16"/>
      <c r="H45" s="16"/>
      <c r="I45" s="16"/>
    </row>
    <row r="46" ht="15.75" customHeight="1">
      <c r="A46" s="16"/>
      <c r="B46" s="16"/>
      <c r="C46" s="16"/>
      <c r="D46" s="16"/>
      <c r="E46" s="16"/>
      <c r="F46" s="16"/>
      <c r="G46" s="16"/>
      <c r="H46" s="16"/>
      <c r="I46" s="16"/>
    </row>
    <row r="47" ht="15.75" customHeight="1">
      <c r="A47" s="16"/>
      <c r="B47" s="16"/>
      <c r="C47" s="16"/>
      <c r="D47" s="16"/>
      <c r="E47" s="16"/>
      <c r="F47" s="16"/>
      <c r="G47" s="16"/>
      <c r="H47" s="16"/>
      <c r="I47" s="16"/>
    </row>
    <row r="48" ht="15.75" customHeight="1">
      <c r="A48" s="16"/>
      <c r="B48" s="16"/>
      <c r="C48" s="16"/>
      <c r="D48" s="16"/>
      <c r="E48" s="16"/>
      <c r="F48" s="16"/>
      <c r="G48" s="16"/>
      <c r="H48" s="16"/>
      <c r="I48" s="16"/>
    </row>
    <row r="49" ht="15.75" customHeight="1">
      <c r="A49" s="16"/>
      <c r="B49" s="16"/>
      <c r="C49" s="16"/>
      <c r="D49" s="16"/>
      <c r="E49" s="16"/>
      <c r="F49" s="16"/>
      <c r="G49" s="16"/>
      <c r="H49" s="16"/>
      <c r="I49" s="16"/>
    </row>
    <row r="50" ht="15.75" customHeight="1">
      <c r="A50" s="16"/>
      <c r="B50" s="16"/>
      <c r="C50" s="16"/>
      <c r="D50" s="16"/>
      <c r="E50" s="16"/>
      <c r="F50" s="16"/>
      <c r="G50" s="16"/>
      <c r="H50" s="16"/>
      <c r="I50" s="16"/>
    </row>
    <row r="51" ht="15.75" customHeight="1">
      <c r="A51" s="16"/>
      <c r="B51" s="16"/>
      <c r="C51" s="16"/>
      <c r="D51" s="16"/>
      <c r="E51" s="16"/>
      <c r="F51" s="16"/>
      <c r="G51" s="16"/>
      <c r="H51" s="16"/>
      <c r="I51" s="16"/>
    </row>
    <row r="52" ht="15.75" customHeight="1">
      <c r="A52" s="16"/>
      <c r="B52" s="16"/>
      <c r="C52" s="16"/>
      <c r="D52" s="16"/>
      <c r="E52" s="16"/>
      <c r="F52" s="16"/>
      <c r="G52" s="16"/>
      <c r="H52" s="16"/>
      <c r="I52" s="16"/>
    </row>
    <row r="53" ht="15.75" customHeight="1">
      <c r="A53" s="16"/>
      <c r="B53" s="16"/>
      <c r="C53" s="16"/>
      <c r="D53" s="16"/>
      <c r="E53" s="16"/>
      <c r="F53" s="16"/>
      <c r="G53" s="16"/>
      <c r="H53" s="16"/>
      <c r="I53" s="16"/>
    </row>
    <row r="54" ht="15.75" customHeight="1">
      <c r="A54" s="16"/>
      <c r="B54" s="16"/>
      <c r="C54" s="16"/>
      <c r="D54" s="16"/>
      <c r="E54" s="16"/>
      <c r="F54" s="16"/>
      <c r="G54" s="16"/>
      <c r="H54" s="16"/>
      <c r="I54" s="16"/>
    </row>
    <row r="55" ht="15.75" customHeight="1">
      <c r="A55" s="16"/>
      <c r="B55" s="16"/>
      <c r="C55" s="16"/>
      <c r="D55" s="16"/>
      <c r="E55" s="16"/>
      <c r="F55" s="16"/>
      <c r="G55" s="16"/>
      <c r="H55" s="16"/>
      <c r="I55" s="16"/>
    </row>
    <row r="56" ht="15.75" customHeight="1">
      <c r="A56" s="16"/>
      <c r="B56" s="16"/>
      <c r="C56" s="16"/>
      <c r="D56" s="16"/>
      <c r="E56" s="16"/>
      <c r="F56" s="16"/>
      <c r="G56" s="16"/>
      <c r="H56" s="16"/>
      <c r="I56" s="16"/>
    </row>
    <row r="57" ht="15.75" customHeight="1">
      <c r="A57" s="16"/>
      <c r="B57" s="16"/>
      <c r="C57" s="16"/>
      <c r="D57" s="16"/>
      <c r="E57" s="16"/>
      <c r="F57" s="16"/>
      <c r="G57" s="16"/>
      <c r="H57" s="16"/>
      <c r="I57" s="16"/>
    </row>
    <row r="58" ht="15.75" customHeight="1">
      <c r="A58" s="16"/>
      <c r="B58" s="16"/>
      <c r="C58" s="16"/>
      <c r="D58" s="16"/>
      <c r="E58" s="16"/>
      <c r="F58" s="16"/>
      <c r="G58" s="16"/>
      <c r="H58" s="16"/>
      <c r="I58" s="16"/>
    </row>
    <row r="59" ht="15.75" customHeight="1">
      <c r="A59" s="16"/>
      <c r="B59" s="16"/>
      <c r="C59" s="16"/>
      <c r="D59" s="16"/>
      <c r="E59" s="16"/>
      <c r="F59" s="16"/>
      <c r="G59" s="16"/>
      <c r="H59" s="16"/>
      <c r="I59" s="16"/>
    </row>
    <row r="60" ht="15.75" customHeight="1">
      <c r="A60" s="16"/>
      <c r="B60" s="16"/>
      <c r="C60" s="16"/>
      <c r="D60" s="16"/>
      <c r="E60" s="16"/>
      <c r="F60" s="16"/>
      <c r="G60" s="16"/>
      <c r="H60" s="16"/>
      <c r="I60" s="16"/>
    </row>
    <row r="61" ht="15.75" customHeight="1">
      <c r="A61" s="16"/>
      <c r="B61" s="16"/>
      <c r="C61" s="16"/>
      <c r="D61" s="16"/>
      <c r="E61" s="16"/>
      <c r="F61" s="16"/>
      <c r="G61" s="16"/>
      <c r="H61" s="16"/>
      <c r="I61" s="16"/>
    </row>
    <row r="62" ht="15.75" customHeight="1">
      <c r="A62" s="16"/>
      <c r="B62" s="16"/>
      <c r="C62" s="16"/>
      <c r="D62" s="16"/>
      <c r="E62" s="16"/>
      <c r="F62" s="16"/>
      <c r="G62" s="16"/>
      <c r="H62" s="16"/>
      <c r="I62" s="16"/>
    </row>
    <row r="63" ht="15.75" customHeight="1">
      <c r="A63" s="16"/>
      <c r="B63" s="16"/>
      <c r="C63" s="16"/>
      <c r="D63" s="16"/>
      <c r="E63" s="16"/>
      <c r="F63" s="16"/>
      <c r="G63" s="16"/>
      <c r="H63" s="16"/>
      <c r="I63" s="16"/>
    </row>
    <row r="64" ht="15.75" customHeight="1">
      <c r="A64" s="16"/>
      <c r="B64" s="16"/>
      <c r="C64" s="16"/>
      <c r="D64" s="16"/>
      <c r="E64" s="16"/>
      <c r="F64" s="16"/>
      <c r="G64" s="16"/>
      <c r="H64" s="16"/>
      <c r="I64" s="16"/>
    </row>
    <row r="65" ht="15.75" customHeight="1">
      <c r="A65" s="16"/>
      <c r="B65" s="16"/>
      <c r="C65" s="16"/>
      <c r="D65" s="16"/>
      <c r="E65" s="16"/>
      <c r="F65" s="16"/>
      <c r="G65" s="16"/>
      <c r="H65" s="16"/>
      <c r="I65" s="16"/>
    </row>
    <row r="66" ht="15.75" customHeight="1">
      <c r="A66" s="16"/>
      <c r="B66" s="16"/>
      <c r="C66" s="16"/>
      <c r="D66" s="16"/>
      <c r="E66" s="16"/>
      <c r="F66" s="16"/>
      <c r="G66" s="16"/>
      <c r="H66" s="16"/>
      <c r="I66" s="16"/>
    </row>
    <row r="67" ht="15.75" customHeight="1">
      <c r="A67" s="16"/>
      <c r="B67" s="16"/>
      <c r="C67" s="16"/>
      <c r="D67" s="16"/>
      <c r="E67" s="16"/>
      <c r="F67" s="16"/>
      <c r="G67" s="16"/>
      <c r="H67" s="16"/>
      <c r="I67" s="16"/>
    </row>
    <row r="68" ht="15.75" customHeight="1">
      <c r="A68" s="16"/>
      <c r="B68" s="16"/>
      <c r="C68" s="16"/>
      <c r="D68" s="16"/>
      <c r="E68" s="16"/>
      <c r="F68" s="16"/>
      <c r="G68" s="16"/>
      <c r="H68" s="16"/>
      <c r="I68" s="16"/>
    </row>
    <row r="69" ht="15.75" customHeight="1">
      <c r="A69" s="16"/>
      <c r="B69" s="16"/>
      <c r="C69" s="16"/>
      <c r="D69" s="16"/>
      <c r="E69" s="16"/>
      <c r="F69" s="16"/>
      <c r="G69" s="16"/>
      <c r="H69" s="16"/>
      <c r="I69" s="16"/>
    </row>
    <row r="70" ht="15.75" customHeight="1">
      <c r="A70" s="16"/>
      <c r="B70" s="16"/>
      <c r="C70" s="16"/>
      <c r="D70" s="16"/>
      <c r="E70" s="16"/>
      <c r="F70" s="16"/>
      <c r="G70" s="16"/>
      <c r="H70" s="16"/>
      <c r="I70" s="16"/>
    </row>
    <row r="71" ht="15.75" customHeight="1">
      <c r="A71" s="16"/>
      <c r="B71" s="16"/>
      <c r="C71" s="16"/>
      <c r="D71" s="16"/>
      <c r="E71" s="16"/>
      <c r="F71" s="16"/>
      <c r="G71" s="16"/>
      <c r="H71" s="16"/>
      <c r="I71" s="16"/>
    </row>
    <row r="72" ht="15.75" customHeight="1">
      <c r="A72" s="16"/>
      <c r="B72" s="16"/>
      <c r="C72" s="16"/>
      <c r="D72" s="16"/>
      <c r="E72" s="16"/>
      <c r="F72" s="16"/>
      <c r="G72" s="16"/>
      <c r="H72" s="16"/>
      <c r="I72" s="16"/>
    </row>
    <row r="73" ht="15.75" customHeight="1">
      <c r="A73" s="16"/>
      <c r="B73" s="16"/>
      <c r="C73" s="16"/>
      <c r="D73" s="16"/>
      <c r="E73" s="16"/>
      <c r="F73" s="16"/>
      <c r="G73" s="16"/>
      <c r="H73" s="16"/>
      <c r="I73" s="16"/>
    </row>
    <row r="74" ht="15.75" customHeight="1">
      <c r="A74" s="16"/>
      <c r="B74" s="16"/>
      <c r="C74" s="16"/>
      <c r="D74" s="16"/>
      <c r="E74" s="16"/>
      <c r="F74" s="16"/>
      <c r="G74" s="16"/>
      <c r="H74" s="16"/>
      <c r="I74" s="16"/>
    </row>
    <row r="75" ht="15.75" customHeight="1">
      <c r="A75" s="16"/>
      <c r="B75" s="16"/>
      <c r="C75" s="16"/>
      <c r="D75" s="16"/>
      <c r="E75" s="16"/>
      <c r="F75" s="16"/>
      <c r="G75" s="16"/>
      <c r="H75" s="16"/>
      <c r="I75" s="16"/>
    </row>
    <row r="76" ht="15.75" customHeight="1">
      <c r="A76" s="16"/>
      <c r="B76" s="16"/>
      <c r="C76" s="16"/>
      <c r="D76" s="16"/>
      <c r="E76" s="16"/>
      <c r="F76" s="16"/>
      <c r="G76" s="16"/>
      <c r="H76" s="16"/>
      <c r="I76" s="16"/>
    </row>
    <row r="77" ht="15.75" customHeight="1">
      <c r="A77" s="16"/>
      <c r="B77" s="16"/>
      <c r="C77" s="16"/>
      <c r="D77" s="16"/>
      <c r="E77" s="16"/>
      <c r="F77" s="16"/>
      <c r="G77" s="16"/>
      <c r="H77" s="16"/>
      <c r="I77" s="16"/>
    </row>
    <row r="78" ht="15.75" customHeight="1">
      <c r="A78" s="16"/>
      <c r="B78" s="16"/>
      <c r="C78" s="16"/>
      <c r="D78" s="16"/>
      <c r="E78" s="16"/>
      <c r="F78" s="16"/>
      <c r="G78" s="16"/>
      <c r="H78" s="16"/>
      <c r="I78" s="16"/>
    </row>
    <row r="79" ht="15.75" customHeight="1">
      <c r="A79" s="16"/>
      <c r="B79" s="16"/>
      <c r="C79" s="16"/>
      <c r="D79" s="16"/>
      <c r="E79" s="16"/>
      <c r="F79" s="16"/>
      <c r="G79" s="16"/>
      <c r="H79" s="16"/>
      <c r="I79" s="16"/>
    </row>
    <row r="80" ht="15.75" customHeight="1">
      <c r="A80" s="16"/>
      <c r="B80" s="16"/>
      <c r="C80" s="16"/>
      <c r="D80" s="16"/>
      <c r="E80" s="16"/>
      <c r="F80" s="16"/>
      <c r="G80" s="16"/>
      <c r="H80" s="16"/>
      <c r="I80" s="16"/>
    </row>
    <row r="81" ht="15.75" customHeight="1">
      <c r="A81" s="16"/>
      <c r="B81" s="16"/>
      <c r="C81" s="16"/>
      <c r="D81" s="16"/>
      <c r="E81" s="16"/>
      <c r="F81" s="16"/>
      <c r="G81" s="16"/>
      <c r="H81" s="16"/>
      <c r="I81" s="16"/>
    </row>
    <row r="82" ht="15.75" customHeight="1">
      <c r="A82" s="16"/>
      <c r="B82" s="16"/>
      <c r="C82" s="16"/>
      <c r="D82" s="16"/>
      <c r="E82" s="16"/>
      <c r="F82" s="16"/>
      <c r="G82" s="16"/>
      <c r="H82" s="16"/>
      <c r="I82" s="16"/>
    </row>
    <row r="83" ht="15.75" customHeight="1">
      <c r="A83" s="16"/>
      <c r="B83" s="16"/>
      <c r="C83" s="16"/>
      <c r="D83" s="16"/>
      <c r="E83" s="16"/>
      <c r="F83" s="16"/>
      <c r="G83" s="16"/>
      <c r="H83" s="16"/>
      <c r="I83" s="16"/>
    </row>
    <row r="84" ht="15.75" customHeight="1">
      <c r="A84" s="16"/>
      <c r="B84" s="16"/>
      <c r="C84" s="16"/>
      <c r="D84" s="16"/>
      <c r="E84" s="16"/>
      <c r="F84" s="16"/>
      <c r="G84" s="16"/>
      <c r="H84" s="16"/>
      <c r="I84" s="16"/>
    </row>
    <row r="85" ht="15.75" customHeight="1">
      <c r="A85" s="16"/>
      <c r="B85" s="16"/>
      <c r="C85" s="16"/>
      <c r="D85" s="16"/>
      <c r="E85" s="16"/>
      <c r="F85" s="16"/>
      <c r="G85" s="16"/>
      <c r="H85" s="16"/>
      <c r="I85" s="16"/>
    </row>
    <row r="86" ht="15.75" customHeight="1">
      <c r="A86" s="16"/>
      <c r="B86" s="16"/>
      <c r="C86" s="16"/>
      <c r="D86" s="16"/>
      <c r="E86" s="16"/>
      <c r="F86" s="16"/>
      <c r="G86" s="16"/>
      <c r="H86" s="16"/>
      <c r="I86" s="16"/>
    </row>
    <row r="87" ht="15.75" customHeight="1">
      <c r="A87" s="16"/>
      <c r="B87" s="16"/>
      <c r="C87" s="16"/>
      <c r="D87" s="16"/>
      <c r="E87" s="16"/>
      <c r="F87" s="16"/>
      <c r="G87" s="16"/>
      <c r="H87" s="16"/>
      <c r="I87" s="16"/>
    </row>
    <row r="88" ht="15.75" customHeight="1">
      <c r="A88" s="16"/>
      <c r="B88" s="16"/>
      <c r="C88" s="16"/>
      <c r="D88" s="16"/>
      <c r="E88" s="16"/>
      <c r="F88" s="16"/>
      <c r="G88" s="16"/>
      <c r="H88" s="16"/>
      <c r="I88" s="16"/>
    </row>
    <row r="89" ht="15.75" customHeight="1">
      <c r="A89" s="16"/>
      <c r="B89" s="16"/>
      <c r="C89" s="16"/>
      <c r="D89" s="16"/>
      <c r="E89" s="16"/>
      <c r="F89" s="16"/>
      <c r="G89" s="16"/>
      <c r="H89" s="16"/>
      <c r="I89" s="16"/>
    </row>
    <row r="90" ht="15.75" customHeight="1">
      <c r="A90" s="16"/>
      <c r="B90" s="16"/>
      <c r="C90" s="16"/>
      <c r="D90" s="16"/>
      <c r="E90" s="16"/>
      <c r="F90" s="16"/>
      <c r="G90" s="16"/>
      <c r="H90" s="16"/>
      <c r="I90" s="16"/>
    </row>
    <row r="91" ht="15.75" customHeight="1">
      <c r="A91" s="16"/>
      <c r="B91" s="16"/>
      <c r="C91" s="16"/>
      <c r="D91" s="16"/>
      <c r="E91" s="16"/>
      <c r="F91" s="16"/>
      <c r="G91" s="16"/>
      <c r="H91" s="16"/>
      <c r="I91" s="16"/>
    </row>
    <row r="92" ht="15.75" customHeight="1">
      <c r="A92" s="16"/>
      <c r="B92" s="16"/>
      <c r="C92" s="16"/>
      <c r="D92" s="16"/>
      <c r="E92" s="16"/>
      <c r="F92" s="16"/>
      <c r="G92" s="16"/>
      <c r="H92" s="16"/>
      <c r="I92" s="16"/>
    </row>
    <row r="93" ht="15.75" customHeight="1">
      <c r="A93" s="16"/>
      <c r="B93" s="16"/>
      <c r="C93" s="16"/>
      <c r="D93" s="16"/>
      <c r="E93" s="16"/>
      <c r="F93" s="16"/>
      <c r="G93" s="16"/>
      <c r="H93" s="16"/>
      <c r="I93" s="16"/>
    </row>
    <row r="94" ht="15.75" customHeight="1">
      <c r="A94" s="16"/>
      <c r="B94" s="16"/>
      <c r="C94" s="16"/>
      <c r="D94" s="16"/>
      <c r="E94" s="16"/>
      <c r="F94" s="16"/>
      <c r="G94" s="16"/>
      <c r="H94" s="16"/>
      <c r="I94" s="16"/>
    </row>
    <row r="95" ht="15.75" customHeight="1">
      <c r="A95" s="16"/>
      <c r="B95" s="16"/>
      <c r="C95" s="16"/>
      <c r="D95" s="16"/>
      <c r="E95" s="16"/>
      <c r="F95" s="16"/>
      <c r="G95" s="16"/>
      <c r="H95" s="16"/>
      <c r="I95" s="16"/>
    </row>
    <row r="96" ht="15.75" customHeight="1">
      <c r="A96" s="16"/>
      <c r="B96" s="16"/>
      <c r="C96" s="16"/>
      <c r="D96" s="16"/>
      <c r="E96" s="16"/>
      <c r="F96" s="16"/>
      <c r="G96" s="16"/>
      <c r="H96" s="16"/>
      <c r="I96" s="16"/>
    </row>
    <row r="97" ht="15.75" customHeight="1">
      <c r="A97" s="16"/>
      <c r="B97" s="16"/>
      <c r="C97" s="16"/>
      <c r="D97" s="16"/>
      <c r="E97" s="16"/>
      <c r="F97" s="16"/>
      <c r="G97" s="16"/>
      <c r="H97" s="16"/>
      <c r="I97" s="16"/>
    </row>
    <row r="98" ht="15.75" customHeight="1">
      <c r="A98" s="16"/>
      <c r="B98" s="16"/>
      <c r="C98" s="16"/>
      <c r="D98" s="16"/>
      <c r="E98" s="16"/>
      <c r="F98" s="16"/>
      <c r="G98" s="16"/>
      <c r="H98" s="16"/>
      <c r="I98" s="16"/>
    </row>
    <row r="99" ht="15.75" customHeight="1">
      <c r="A99" s="16"/>
      <c r="B99" s="16"/>
      <c r="C99" s="16"/>
      <c r="D99" s="16"/>
      <c r="E99" s="16"/>
      <c r="F99" s="16"/>
      <c r="G99" s="16"/>
      <c r="H99" s="16"/>
      <c r="I99" s="16"/>
    </row>
    <row r="100" ht="15.75" customHeight="1">
      <c r="A100" s="16"/>
      <c r="B100" s="16"/>
      <c r="C100" s="16"/>
      <c r="D100" s="16"/>
      <c r="E100" s="16"/>
      <c r="F100" s="16"/>
      <c r="G100" s="16"/>
      <c r="H100" s="16"/>
      <c r="I100" s="16"/>
    </row>
    <row r="101" ht="15.75" customHeight="1">
      <c r="A101" s="16"/>
      <c r="B101" s="16"/>
      <c r="C101" s="16"/>
      <c r="D101" s="16"/>
      <c r="E101" s="16"/>
      <c r="F101" s="16"/>
      <c r="G101" s="16"/>
      <c r="H101" s="16"/>
      <c r="I101" s="16"/>
    </row>
    <row r="102" ht="15.75" customHeight="1">
      <c r="A102" s="16"/>
      <c r="B102" s="16"/>
      <c r="C102" s="16"/>
      <c r="D102" s="16"/>
      <c r="E102" s="16"/>
      <c r="F102" s="16"/>
      <c r="G102" s="16"/>
      <c r="H102" s="16"/>
      <c r="I102" s="16"/>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3:$I$102"/>
  <conditionalFormatting sqref="B4:I102">
    <cfRule type="expression" dxfId="0" priority="1">
      <formula>AND($A4&lt;&gt;"",B4="")</formula>
    </cfRule>
  </conditionalFormatting>
  <dataValidations>
    <dataValidation type="list" allowBlank="1" sqref="H4:H17 H19:H102">
      <formula1>"Negativo,Exceção,Positivo"</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3" width="12.0"/>
    <col customWidth="1" min="4" max="4" width="18.0"/>
    <col customWidth="1" min="5" max="5" width="16.0"/>
    <col customWidth="1" min="6" max="6" width="12.0"/>
    <col customWidth="1" min="7" max="7" width="10.0"/>
    <col customWidth="1" min="8" max="8" width="44.0"/>
    <col customWidth="1" min="9" max="9" width="40.0"/>
    <col customWidth="1" min="10" max="10" width="44.0"/>
    <col customWidth="1" min="11" max="11" width="28.0"/>
    <col customWidth="1" min="12" max="12" width="16.0"/>
    <col customWidth="1" min="13" max="13" width="30.0"/>
    <col customWidth="1" min="14" max="26" width="8.71"/>
  </cols>
  <sheetData>
    <row r="1">
      <c r="A1" s="1" t="s">
        <v>447</v>
      </c>
    </row>
    <row r="2">
      <c r="A2" s="2" t="s">
        <v>448</v>
      </c>
    </row>
    <row r="3" ht="31.5" customHeight="1">
      <c r="A3" s="12" t="s">
        <v>32</v>
      </c>
      <c r="B3" s="12" t="s">
        <v>449</v>
      </c>
      <c r="C3" s="12" t="s">
        <v>450</v>
      </c>
      <c r="D3" s="12" t="s">
        <v>451</v>
      </c>
      <c r="E3" s="12" t="s">
        <v>30</v>
      </c>
      <c r="F3" s="12" t="s">
        <v>33</v>
      </c>
      <c r="G3" s="12" t="s">
        <v>36</v>
      </c>
      <c r="H3" s="12" t="s">
        <v>452</v>
      </c>
      <c r="I3" s="12" t="s">
        <v>453</v>
      </c>
      <c r="J3" s="12" t="s">
        <v>454</v>
      </c>
      <c r="K3" s="12" t="s">
        <v>455</v>
      </c>
      <c r="L3" s="12" t="s">
        <v>456</v>
      </c>
      <c r="M3" s="12" t="s">
        <v>23</v>
      </c>
    </row>
    <row r="4">
      <c r="A4" s="16" t="s">
        <v>457</v>
      </c>
      <c r="B4" s="14" t="s">
        <v>458</v>
      </c>
      <c r="C4" s="14"/>
      <c r="D4" s="46" t="s">
        <v>459</v>
      </c>
      <c r="E4" s="47" t="str">
        <f>IF(INSTRUCOES!$B$13="","",INSTRUCOES!$B$13)</f>
        <v>Instant</v>
      </c>
      <c r="F4" s="47" t="str">
        <f>IF(INSTRUCOES!$B$14="","",INSTRUCOES!$B$14)</f>
        <v>Não disponibilizada pela interface</v>
      </c>
      <c r="G4" s="47" t="str">
        <f>IF(INSTRUCOES!$B$15="","",INSTRUCOES!$B$15)</f>
        <v>Não disponibilizado pela interface</v>
      </c>
      <c r="H4" s="14" t="s">
        <v>460</v>
      </c>
      <c r="I4" s="16"/>
      <c r="J4" s="14" t="s">
        <v>461</v>
      </c>
      <c r="K4" s="16"/>
      <c r="L4" s="48">
        <v>6.0</v>
      </c>
      <c r="M4" s="16"/>
    </row>
    <row r="5">
      <c r="A5" s="49"/>
      <c r="B5" s="50"/>
      <c r="C5" s="49"/>
      <c r="D5" s="49"/>
      <c r="E5" s="49"/>
      <c r="F5" s="49"/>
      <c r="G5" s="49"/>
      <c r="H5" s="49"/>
      <c r="I5" s="49"/>
      <c r="J5" s="50"/>
      <c r="K5" s="49"/>
      <c r="L5" s="49"/>
      <c r="M5" s="49"/>
      <c r="N5" s="22"/>
      <c r="O5" s="22"/>
      <c r="P5" s="22"/>
      <c r="Q5" s="22"/>
      <c r="R5" s="22"/>
      <c r="S5" s="22"/>
      <c r="T5" s="22"/>
      <c r="U5" s="22"/>
      <c r="V5" s="22"/>
      <c r="W5" s="22"/>
      <c r="X5" s="22"/>
      <c r="Y5" s="22"/>
      <c r="Z5" s="22"/>
    </row>
    <row r="6">
      <c r="A6" s="16" t="s">
        <v>457</v>
      </c>
      <c r="B6" s="14" t="s">
        <v>462</v>
      </c>
      <c r="C6" s="16"/>
      <c r="D6" s="47" t="str">
        <f>IF(INSTRUCOES!$B$12="","",INSTRUCOES!$B$12)</f>
        <v>GPT-5.6 Luna (Free)</v>
      </c>
      <c r="E6" s="47" t="str">
        <f>IF(INSTRUCOES!$B$13="","",INSTRUCOES!$B$13)</f>
        <v>Instant</v>
      </c>
      <c r="F6" s="47" t="str">
        <f>IF(INSTRUCOES!$B$14="","",INSTRUCOES!$B$14)</f>
        <v>Não disponibilizada pela interface</v>
      </c>
      <c r="G6" s="47" t="str">
        <f>IF(INSTRUCOES!$B$15="","",INSTRUCOES!$B$15)</f>
        <v>Não disponibilizado pela interface</v>
      </c>
      <c r="H6" s="14" t="s">
        <v>460</v>
      </c>
      <c r="I6" s="16"/>
      <c r="J6" s="14" t="s">
        <v>463</v>
      </c>
      <c r="K6" s="16"/>
      <c r="L6" s="48">
        <v>6.0</v>
      </c>
      <c r="M6" s="16"/>
    </row>
    <row r="7">
      <c r="A7" s="49"/>
      <c r="B7" s="50"/>
      <c r="C7" s="49"/>
      <c r="D7" s="49"/>
      <c r="E7" s="49"/>
      <c r="F7" s="49"/>
      <c r="G7" s="49"/>
      <c r="H7" s="49"/>
      <c r="I7" s="49"/>
      <c r="J7" s="50"/>
      <c r="K7" s="49"/>
      <c r="L7" s="49"/>
      <c r="M7" s="49"/>
      <c r="N7" s="22"/>
      <c r="O7" s="22"/>
      <c r="P7" s="22"/>
      <c r="Q7" s="22"/>
      <c r="R7" s="22"/>
      <c r="S7" s="22"/>
      <c r="T7" s="22"/>
      <c r="U7" s="22"/>
      <c r="V7" s="22"/>
      <c r="W7" s="22"/>
      <c r="X7" s="22"/>
      <c r="Y7" s="22"/>
      <c r="Z7" s="22"/>
    </row>
    <row r="8">
      <c r="A8" s="16" t="s">
        <v>457</v>
      </c>
      <c r="B8" s="14" t="s">
        <v>464</v>
      </c>
      <c r="C8" s="16"/>
      <c r="D8" s="47" t="str">
        <f>IF(INSTRUCOES!$B$12="","",INSTRUCOES!$B$12)</f>
        <v>GPT-5.6 Luna (Free)</v>
      </c>
      <c r="E8" s="47" t="str">
        <f>IF(INSTRUCOES!$B$13="","",INSTRUCOES!$B$13)</f>
        <v>Instant</v>
      </c>
      <c r="F8" s="47" t="str">
        <f>IF(INSTRUCOES!$B$14="","",INSTRUCOES!$B$14)</f>
        <v>Não disponibilizada pela interface</v>
      </c>
      <c r="G8" s="47" t="str">
        <f>IF(INSTRUCOES!$B$15="","",INSTRUCOES!$B$15)</f>
        <v>Não disponibilizado pela interface</v>
      </c>
      <c r="H8" s="14" t="s">
        <v>460</v>
      </c>
      <c r="I8" s="16"/>
      <c r="J8" s="14" t="s">
        <v>471</v>
      </c>
      <c r="K8" s="16"/>
      <c r="L8" s="48">
        <v>7.0</v>
      </c>
      <c r="M8" s="16"/>
    </row>
    <row r="9">
      <c r="A9" s="41"/>
      <c r="B9" s="41"/>
      <c r="C9" s="43"/>
      <c r="D9" s="43"/>
      <c r="E9" s="43"/>
      <c r="F9" s="43"/>
      <c r="G9" s="43"/>
      <c r="H9" s="43"/>
      <c r="I9" s="43"/>
      <c r="J9" s="43"/>
      <c r="K9" s="43"/>
      <c r="L9" s="43"/>
      <c r="M9" s="43"/>
    </row>
    <row r="10">
      <c r="A10" s="14" t="s">
        <v>472</v>
      </c>
      <c r="B10" s="14" t="s">
        <v>458</v>
      </c>
      <c r="C10" s="16"/>
      <c r="D10" s="47" t="str">
        <f>IF(INSTRUCOES!$B$12="","",INSTRUCOES!$B$12)</f>
        <v>GPT-5.6 Luna (Free)</v>
      </c>
      <c r="E10" s="47" t="str">
        <f>IF(INSTRUCOES!$B$13="","",INSTRUCOES!$B$13)</f>
        <v>Instant</v>
      </c>
      <c r="F10" s="47" t="str">
        <f>IF(INSTRUCOES!$B$14="","",INSTRUCOES!$B$14)</f>
        <v>Não disponibilizada pela interface</v>
      </c>
      <c r="G10" s="47" t="str">
        <f>IF(INSTRUCOES!$B$15="","",INSTRUCOES!$B$15)</f>
        <v>Não disponibilizado pela interface</v>
      </c>
      <c r="H10" s="14" t="s">
        <v>481</v>
      </c>
      <c r="I10" s="16"/>
      <c r="J10" s="14" t="s">
        <v>482</v>
      </c>
      <c r="K10" s="16"/>
      <c r="L10" s="48">
        <v>10.0</v>
      </c>
      <c r="M10" s="16"/>
    </row>
    <row r="11">
      <c r="A11" s="49"/>
      <c r="B11" s="50"/>
      <c r="C11" s="49"/>
      <c r="D11" s="49"/>
      <c r="E11" s="49"/>
      <c r="F11" s="49"/>
      <c r="G11" s="49"/>
      <c r="H11" s="49"/>
      <c r="I11" s="49"/>
      <c r="J11" s="49"/>
      <c r="K11" s="49"/>
      <c r="L11" s="49"/>
      <c r="M11" s="49"/>
      <c r="N11" s="22"/>
      <c r="O11" s="22"/>
      <c r="P11" s="22"/>
      <c r="Q11" s="22"/>
      <c r="R11" s="22"/>
      <c r="S11" s="22"/>
      <c r="T11" s="22"/>
      <c r="U11" s="22"/>
      <c r="V11" s="22"/>
      <c r="W11" s="22"/>
      <c r="X11" s="22"/>
      <c r="Y11" s="22"/>
      <c r="Z11" s="22"/>
    </row>
    <row r="12">
      <c r="A12" s="16" t="s">
        <v>472</v>
      </c>
      <c r="B12" s="14" t="s">
        <v>462</v>
      </c>
      <c r="C12" s="16"/>
      <c r="D12" s="47" t="str">
        <f>IF(INSTRUCOES!$B$12="","",INSTRUCOES!$B$12)</f>
        <v>GPT-5.6 Luna (Free)</v>
      </c>
      <c r="E12" s="47" t="str">
        <f>IF(INSTRUCOES!$B$13="","",INSTRUCOES!$B$13)</f>
        <v>Instant</v>
      </c>
      <c r="F12" s="47" t="str">
        <f>IF(INSTRUCOES!$B$14="","",INSTRUCOES!$B$14)</f>
        <v>Não disponibilizada pela interface</v>
      </c>
      <c r="G12" s="47" t="str">
        <f>IF(INSTRUCOES!$B$15="","",INSTRUCOES!$B$15)</f>
        <v>Não disponibilizado pela interface</v>
      </c>
      <c r="H12" s="14" t="s">
        <v>481</v>
      </c>
      <c r="I12" s="16"/>
      <c r="J12" s="14" t="s">
        <v>487</v>
      </c>
      <c r="K12" s="16"/>
      <c r="L12" s="48">
        <v>10.0</v>
      </c>
      <c r="M12" s="16"/>
    </row>
    <row r="13">
      <c r="A13" s="16"/>
      <c r="B13" s="14"/>
      <c r="C13" s="16"/>
      <c r="D13" s="47"/>
      <c r="E13" s="47"/>
      <c r="F13" s="47"/>
      <c r="G13" s="47"/>
      <c r="H13" s="16"/>
      <c r="I13" s="16"/>
      <c r="J13" s="16"/>
      <c r="K13" s="16"/>
      <c r="L13" s="16"/>
      <c r="M13" s="16"/>
    </row>
    <row r="14">
      <c r="A14" s="16" t="s">
        <v>472</v>
      </c>
      <c r="B14" s="14" t="s">
        <v>464</v>
      </c>
      <c r="C14" s="16"/>
      <c r="D14" s="47" t="str">
        <f>IF(INSTRUCOES!$B$12="","",INSTRUCOES!$B$12)</f>
        <v>GPT-5.6 Luna (Free)</v>
      </c>
      <c r="E14" s="47" t="str">
        <f>IF(INSTRUCOES!$B$13="","",INSTRUCOES!$B$13)</f>
        <v>Instant</v>
      </c>
      <c r="F14" s="47" t="str">
        <f>IF(INSTRUCOES!$B$14="","",INSTRUCOES!$B$14)</f>
        <v>Não disponibilizada pela interface</v>
      </c>
      <c r="G14" s="47" t="str">
        <f>IF(INSTRUCOES!$B$15="","",INSTRUCOES!$B$15)</f>
        <v>Não disponibilizado pela interface</v>
      </c>
      <c r="H14" s="14" t="s">
        <v>481</v>
      </c>
      <c r="I14" s="16"/>
      <c r="J14" s="14" t="s">
        <v>498</v>
      </c>
      <c r="K14" s="16"/>
      <c r="L14" s="48">
        <v>9.0</v>
      </c>
      <c r="M14" s="16"/>
    </row>
    <row r="15">
      <c r="A15" s="41"/>
      <c r="B15" s="41"/>
      <c r="C15" s="43"/>
      <c r="D15" s="43"/>
      <c r="E15" s="43"/>
      <c r="F15" s="43"/>
      <c r="G15" s="43"/>
      <c r="H15" s="43"/>
      <c r="I15" s="43"/>
      <c r="J15" s="43"/>
      <c r="K15" s="43"/>
      <c r="L15" s="43"/>
      <c r="M15" s="43"/>
    </row>
    <row r="16">
      <c r="A16" s="14" t="s">
        <v>493</v>
      </c>
      <c r="B16" s="14" t="s">
        <v>458</v>
      </c>
      <c r="C16" s="16"/>
      <c r="D16" s="47" t="str">
        <f>IF(INSTRUCOES!$B$12="","",INSTRUCOES!$B$12)</f>
        <v>GPT-5.6 Luna (Free)</v>
      </c>
      <c r="E16" s="47" t="str">
        <f>IF(INSTRUCOES!$B$13="","",INSTRUCOES!$B$13)</f>
        <v>Instant</v>
      </c>
      <c r="F16" s="47" t="str">
        <f>IF(INSTRUCOES!$B$14="","",INSTRUCOES!$B$14)</f>
        <v>Não disponibilizada pela interface</v>
      </c>
      <c r="G16" s="47" t="str">
        <f>IF(INSTRUCOES!$B$15="","",INSTRUCOES!$B$15)</f>
        <v>Não disponibilizado pela interface</v>
      </c>
      <c r="H16" s="14" t="s">
        <v>499</v>
      </c>
      <c r="I16" s="16"/>
      <c r="J16" s="14" t="s">
        <v>500</v>
      </c>
      <c r="K16" s="16"/>
      <c r="L16" s="48">
        <v>8.0</v>
      </c>
      <c r="M16" s="16"/>
    </row>
    <row r="17">
      <c r="A17" s="16"/>
      <c r="B17" s="14"/>
      <c r="C17" s="16"/>
      <c r="D17" s="47"/>
      <c r="E17" s="47"/>
      <c r="F17" s="47"/>
      <c r="G17" s="47"/>
      <c r="H17" s="16"/>
      <c r="I17" s="16"/>
      <c r="J17" s="16"/>
      <c r="K17" s="16"/>
      <c r="L17" s="16"/>
      <c r="M17" s="16"/>
    </row>
    <row r="18">
      <c r="A18" s="16" t="s">
        <v>493</v>
      </c>
      <c r="B18" s="14" t="s">
        <v>462</v>
      </c>
      <c r="C18" s="16"/>
      <c r="D18" s="47" t="str">
        <f>IF(INSTRUCOES!$B$12="","",INSTRUCOES!$B$12)</f>
        <v>GPT-5.6 Luna (Free)</v>
      </c>
      <c r="E18" s="47" t="str">
        <f>IF(INSTRUCOES!$B$13="","",INSTRUCOES!$B$13)</f>
        <v>Instant</v>
      </c>
      <c r="F18" s="47" t="str">
        <f>IF(INSTRUCOES!$B$14="","",INSTRUCOES!$B$14)</f>
        <v>Não disponibilizada pela interface</v>
      </c>
      <c r="G18" s="47" t="str">
        <f>IF(INSTRUCOES!$B$15="","",INSTRUCOES!$B$15)</f>
        <v>Não disponibilizado pela interface</v>
      </c>
      <c r="H18" s="14" t="s">
        <v>499</v>
      </c>
      <c r="I18" s="16"/>
      <c r="J18" s="14" t="s">
        <v>501</v>
      </c>
      <c r="K18" s="16"/>
      <c r="L18" s="48">
        <v>8.0</v>
      </c>
      <c r="M18" s="16"/>
    </row>
    <row r="19">
      <c r="A19" s="16"/>
      <c r="B19" s="14"/>
      <c r="C19" s="16"/>
      <c r="D19" s="47"/>
      <c r="E19" s="47"/>
      <c r="F19" s="47"/>
      <c r="G19" s="47"/>
      <c r="H19" s="16"/>
      <c r="I19" s="16"/>
      <c r="J19" s="16"/>
      <c r="K19" s="16"/>
      <c r="L19" s="16"/>
      <c r="M19" s="16"/>
    </row>
    <row r="20">
      <c r="A20" s="16" t="s">
        <v>493</v>
      </c>
      <c r="B20" s="14" t="s">
        <v>464</v>
      </c>
      <c r="C20" s="16"/>
      <c r="D20" s="47" t="str">
        <f>IF(INSTRUCOES!$B$12="","",INSTRUCOES!$B$12)</f>
        <v>GPT-5.6 Luna (Free)</v>
      </c>
      <c r="E20" s="47" t="str">
        <f>IF(INSTRUCOES!$B$13="","",INSTRUCOES!$B$13)</f>
        <v>Instant</v>
      </c>
      <c r="F20" s="47" t="str">
        <f>IF(INSTRUCOES!$B$14="","",INSTRUCOES!$B$14)</f>
        <v>Não disponibilizada pela interface</v>
      </c>
      <c r="G20" s="47" t="str">
        <f>IF(INSTRUCOES!$B$15="","",INSTRUCOES!$B$15)</f>
        <v>Não disponibilizado pela interface</v>
      </c>
      <c r="H20" s="14" t="s">
        <v>499</v>
      </c>
      <c r="I20" s="16"/>
      <c r="J20" s="14" t="s">
        <v>502</v>
      </c>
      <c r="K20" s="16"/>
      <c r="L20" s="48">
        <v>8.0</v>
      </c>
      <c r="M20" s="16"/>
    </row>
    <row r="21">
      <c r="A21" s="16"/>
      <c r="B21" s="16"/>
      <c r="C21" s="16"/>
      <c r="D21" s="16"/>
      <c r="E21" s="16"/>
      <c r="F21" s="16"/>
      <c r="G21" s="16"/>
      <c r="H21" s="16"/>
      <c r="I21" s="16"/>
      <c r="J21" s="16"/>
      <c r="K21" s="16"/>
      <c r="L21" s="16"/>
      <c r="M21" s="16"/>
    </row>
    <row r="22">
      <c r="A22" s="16"/>
      <c r="B22" s="16"/>
      <c r="C22" s="16"/>
      <c r="D22" s="16"/>
      <c r="E22" s="16"/>
      <c r="F22" s="16"/>
      <c r="G22" s="16"/>
      <c r="H22" s="16"/>
      <c r="I22" s="16"/>
      <c r="J22" s="16"/>
      <c r="K22" s="16"/>
      <c r="L22" s="16"/>
      <c r="M22" s="16"/>
    </row>
    <row r="23">
      <c r="A23" s="16"/>
      <c r="B23" s="16"/>
      <c r="C23" s="16"/>
      <c r="D23" s="16"/>
      <c r="E23" s="16"/>
      <c r="F23" s="16"/>
      <c r="G23" s="16"/>
      <c r="H23" s="16"/>
      <c r="I23" s="16"/>
      <c r="J23" s="16"/>
      <c r="K23" s="16"/>
      <c r="L23" s="16"/>
      <c r="M23" s="16"/>
    </row>
    <row r="24">
      <c r="A24" s="16"/>
      <c r="B24" s="16"/>
      <c r="C24" s="16"/>
      <c r="D24" s="16"/>
      <c r="E24" s="16"/>
      <c r="F24" s="16"/>
      <c r="G24" s="16"/>
      <c r="H24" s="16"/>
      <c r="I24" s="16"/>
      <c r="J24" s="16"/>
      <c r="K24" s="16"/>
      <c r="L24" s="16"/>
      <c r="M24" s="16"/>
    </row>
    <row r="25">
      <c r="A25" s="16"/>
      <c r="B25" s="16"/>
      <c r="C25" s="16"/>
      <c r="D25" s="16"/>
      <c r="E25" s="16"/>
      <c r="F25" s="16"/>
      <c r="G25" s="16"/>
      <c r="H25" s="16"/>
      <c r="I25" s="16"/>
      <c r="J25" s="16"/>
      <c r="K25" s="16"/>
      <c r="L25" s="16"/>
      <c r="M25" s="16"/>
    </row>
    <row r="26">
      <c r="A26" s="16"/>
      <c r="B26" s="16"/>
      <c r="C26" s="16"/>
      <c r="D26" s="16"/>
      <c r="E26" s="16"/>
      <c r="F26" s="16"/>
      <c r="G26" s="16"/>
      <c r="H26" s="16"/>
      <c r="I26" s="16"/>
      <c r="J26" s="16"/>
      <c r="K26" s="16"/>
      <c r="L26" s="16"/>
      <c r="M26" s="16"/>
    </row>
    <row r="27">
      <c r="A27" s="16"/>
      <c r="B27" s="16"/>
      <c r="C27" s="16"/>
      <c r="D27" s="16"/>
      <c r="E27" s="16"/>
      <c r="F27" s="16"/>
      <c r="G27" s="16"/>
      <c r="H27" s="16"/>
      <c r="I27" s="16"/>
      <c r="J27" s="16"/>
      <c r="K27" s="16"/>
      <c r="L27" s="16"/>
      <c r="M27" s="16"/>
    </row>
    <row r="28" ht="15.75" customHeight="1">
      <c r="A28" s="16"/>
      <c r="B28" s="16"/>
      <c r="C28" s="16"/>
      <c r="D28" s="16"/>
      <c r="E28" s="16"/>
      <c r="F28" s="16"/>
      <c r="G28" s="16"/>
      <c r="H28" s="16"/>
      <c r="I28" s="16"/>
      <c r="J28" s="16"/>
      <c r="K28" s="16"/>
      <c r="L28" s="16"/>
      <c r="M28" s="16"/>
    </row>
    <row r="29" ht="15.75" customHeight="1">
      <c r="A29" s="16"/>
      <c r="B29" s="16"/>
      <c r="C29" s="16"/>
      <c r="D29" s="16"/>
      <c r="E29" s="16"/>
      <c r="F29" s="16"/>
      <c r="G29" s="16"/>
      <c r="H29" s="16"/>
      <c r="I29" s="16"/>
      <c r="J29" s="16"/>
      <c r="K29" s="16"/>
      <c r="L29" s="16"/>
      <c r="M29" s="16"/>
    </row>
    <row r="30" ht="15.75" customHeight="1">
      <c r="A30" s="16"/>
      <c r="B30" s="16"/>
      <c r="C30" s="16"/>
      <c r="D30" s="16"/>
      <c r="E30" s="16"/>
      <c r="F30" s="16"/>
      <c r="G30" s="16"/>
      <c r="H30" s="16"/>
      <c r="I30" s="16"/>
      <c r="J30" s="16"/>
      <c r="K30" s="16"/>
      <c r="L30" s="16"/>
      <c r="M30" s="1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autoFilter ref="$A$3:$M$30"/>
  <conditionalFormatting sqref="B4:M30">
    <cfRule type="expression" dxfId="0" priority="1">
      <formula>AND($A4&lt;&gt;"",B4="")</formula>
    </cfRule>
  </conditionalFormatting>
  <dataValidations>
    <dataValidation type="list" allowBlank="1" sqref="B4:B30">
      <formula1>"E1,E2,E3"</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3" width="12.0"/>
    <col customWidth="1" min="4" max="4" width="18.0"/>
    <col customWidth="1" min="5" max="5" width="12.0"/>
    <col customWidth="1" min="6" max="6" width="44.0"/>
    <col customWidth="1" min="7" max="7" width="40.0"/>
    <col customWidth="1" min="8" max="8" width="44.0"/>
    <col customWidth="1" min="9" max="10" width="26.0"/>
    <col customWidth="1" min="11" max="11" width="22.0"/>
    <col customWidth="1" min="12" max="12" width="28.0"/>
    <col customWidth="1" min="13" max="13" width="16.0"/>
    <col customWidth="1" min="14" max="14" width="30.0"/>
    <col customWidth="1" min="15" max="23" width="8.71"/>
  </cols>
  <sheetData>
    <row r="1">
      <c r="A1" s="1" t="s">
        <v>465</v>
      </c>
    </row>
    <row r="2">
      <c r="A2" s="2" t="s">
        <v>466</v>
      </c>
    </row>
    <row r="3" ht="30.0" customHeight="1">
      <c r="A3" s="12" t="s">
        <v>32</v>
      </c>
      <c r="B3" s="12" t="s">
        <v>449</v>
      </c>
      <c r="C3" s="12" t="s">
        <v>450</v>
      </c>
      <c r="D3" s="12" t="s">
        <v>451</v>
      </c>
      <c r="E3" s="51" t="s">
        <v>467</v>
      </c>
      <c r="F3" s="12" t="s">
        <v>452</v>
      </c>
      <c r="G3" s="12" t="s">
        <v>453</v>
      </c>
      <c r="H3" s="12" t="s">
        <v>454</v>
      </c>
      <c r="I3" s="12" t="s">
        <v>468</v>
      </c>
      <c r="J3" s="12" t="s">
        <v>469</v>
      </c>
      <c r="K3" s="12" t="s">
        <v>470</v>
      </c>
      <c r="L3" s="12" t="s">
        <v>455</v>
      </c>
      <c r="M3" s="52" t="s">
        <v>456</v>
      </c>
      <c r="N3" s="12" t="s">
        <v>23</v>
      </c>
    </row>
    <row r="4">
      <c r="A4" s="16" t="s">
        <v>457</v>
      </c>
      <c r="B4" s="16" t="s">
        <v>458</v>
      </c>
      <c r="C4" s="53">
        <v>46299.0</v>
      </c>
      <c r="D4" s="47" t="str">
        <f>IF(INSTRUCOES!$B$12="","",INSTRUCOES!$B$12)</f>
        <v>GPT-5.6 Luna (Free)</v>
      </c>
      <c r="E4" s="46" t="s">
        <v>473</v>
      </c>
      <c r="F4" s="14" t="s">
        <v>474</v>
      </c>
      <c r="G4" s="14" t="s">
        <v>475</v>
      </c>
      <c r="H4" s="14" t="s">
        <v>476</v>
      </c>
      <c r="I4" s="14" t="s">
        <v>477</v>
      </c>
      <c r="J4" s="14" t="s">
        <v>478</v>
      </c>
      <c r="K4" s="14" t="s">
        <v>479</v>
      </c>
      <c r="L4" s="54" t="s">
        <v>480</v>
      </c>
      <c r="M4" s="48">
        <v>6.0</v>
      </c>
      <c r="N4" s="14" t="s">
        <v>483</v>
      </c>
    </row>
    <row r="5">
      <c r="A5" s="16" t="s">
        <v>457</v>
      </c>
      <c r="B5" s="16" t="s">
        <v>462</v>
      </c>
      <c r="C5" s="53">
        <v>46299.0</v>
      </c>
      <c r="D5" s="47" t="str">
        <f>IF(INSTRUCOES!$B$12="","",INSTRUCOES!$B$12)</f>
        <v>GPT-5.6 Luna (Free)</v>
      </c>
      <c r="E5" s="46" t="s">
        <v>473</v>
      </c>
      <c r="F5" s="14" t="s">
        <v>474</v>
      </c>
      <c r="G5" s="14" t="s">
        <v>475</v>
      </c>
      <c r="H5" s="14" t="s">
        <v>484</v>
      </c>
      <c r="I5" s="14" t="s">
        <v>477</v>
      </c>
      <c r="J5" s="14" t="s">
        <v>478</v>
      </c>
      <c r="K5" s="14" t="s">
        <v>479</v>
      </c>
      <c r="L5" s="54" t="s">
        <v>485</v>
      </c>
      <c r="M5" s="48">
        <v>6.0</v>
      </c>
      <c r="N5" s="14" t="s">
        <v>483</v>
      </c>
    </row>
    <row r="6">
      <c r="A6" s="16" t="s">
        <v>457</v>
      </c>
      <c r="B6" s="16" t="s">
        <v>464</v>
      </c>
      <c r="C6" s="53">
        <v>46299.0</v>
      </c>
      <c r="D6" s="47" t="str">
        <f>IF(INSTRUCOES!$B$12="","",INSTRUCOES!$B$12)</f>
        <v>GPT-5.6 Luna (Free)</v>
      </c>
      <c r="E6" s="46" t="s">
        <v>473</v>
      </c>
      <c r="F6" s="14" t="s">
        <v>474</v>
      </c>
      <c r="G6" s="14" t="s">
        <v>475</v>
      </c>
      <c r="H6" s="14" t="s">
        <v>484</v>
      </c>
      <c r="I6" s="14" t="s">
        <v>477</v>
      </c>
      <c r="J6" s="14" t="s">
        <v>478</v>
      </c>
      <c r="K6" s="14" t="s">
        <v>479</v>
      </c>
      <c r="L6" s="54" t="s">
        <v>486</v>
      </c>
      <c r="M6" s="48">
        <v>6.0</v>
      </c>
      <c r="N6" s="14" t="s">
        <v>483</v>
      </c>
    </row>
    <row r="7">
      <c r="A7" s="34"/>
      <c r="B7" s="34"/>
      <c r="C7" s="34"/>
      <c r="D7" s="34"/>
      <c r="E7" s="34"/>
      <c r="F7" s="34"/>
      <c r="G7" s="34"/>
      <c r="H7" s="34"/>
      <c r="I7" s="34"/>
      <c r="J7" s="34"/>
      <c r="K7" s="34"/>
      <c r="L7" s="34"/>
      <c r="M7" s="34"/>
      <c r="N7" s="34"/>
    </row>
    <row r="8">
      <c r="A8" s="16" t="s">
        <v>472</v>
      </c>
      <c r="B8" s="16" t="s">
        <v>458</v>
      </c>
      <c r="C8" s="53">
        <v>46299.0</v>
      </c>
      <c r="D8" s="47" t="str">
        <f>IF(INSTRUCOES!$B$12="","",INSTRUCOES!$B$12)</f>
        <v>GPT-5.6 Luna (Free)</v>
      </c>
      <c r="E8" s="46" t="s">
        <v>473</v>
      </c>
      <c r="F8" s="14" t="s">
        <v>474</v>
      </c>
      <c r="G8" s="14" t="s">
        <v>488</v>
      </c>
      <c r="H8" s="14" t="s">
        <v>489</v>
      </c>
      <c r="I8" s="14" t="s">
        <v>490</v>
      </c>
      <c r="J8" s="14" t="s">
        <v>491</v>
      </c>
      <c r="K8" s="14" t="s">
        <v>479</v>
      </c>
      <c r="L8" s="55" t="s">
        <v>480</v>
      </c>
      <c r="M8" s="48">
        <v>7.0</v>
      </c>
      <c r="N8" s="14" t="s">
        <v>483</v>
      </c>
    </row>
    <row r="9" ht="22.5" customHeight="1">
      <c r="A9" s="16" t="s">
        <v>472</v>
      </c>
      <c r="B9" s="16" t="s">
        <v>462</v>
      </c>
      <c r="C9" s="53">
        <v>46299.0</v>
      </c>
      <c r="D9" s="47" t="str">
        <f>IF(INSTRUCOES!$B$12="","",INSTRUCOES!$B$12)</f>
        <v>GPT-5.6 Luna (Free)</v>
      </c>
      <c r="E9" s="46" t="s">
        <v>473</v>
      </c>
      <c r="F9" s="14" t="s">
        <v>474</v>
      </c>
      <c r="G9" s="14" t="s">
        <v>488</v>
      </c>
      <c r="H9" s="14" t="s">
        <v>489</v>
      </c>
      <c r="I9" s="14" t="s">
        <v>490</v>
      </c>
      <c r="J9" s="14" t="s">
        <v>491</v>
      </c>
      <c r="K9" s="14" t="s">
        <v>479</v>
      </c>
      <c r="L9" s="55" t="s">
        <v>492</v>
      </c>
      <c r="M9" s="48">
        <v>7.0</v>
      </c>
      <c r="N9" s="14" t="s">
        <v>483</v>
      </c>
    </row>
    <row r="10" ht="27.75" customHeight="1">
      <c r="A10" s="16" t="s">
        <v>472</v>
      </c>
      <c r="B10" s="16" t="s">
        <v>464</v>
      </c>
      <c r="C10" s="53">
        <v>46299.0</v>
      </c>
      <c r="D10" s="47" t="str">
        <f>IF(INSTRUCOES!$B$12="","",INSTRUCOES!$B$12)</f>
        <v>GPT-5.6 Luna (Free)</v>
      </c>
      <c r="E10" s="46" t="s">
        <v>473</v>
      </c>
      <c r="F10" s="14" t="s">
        <v>474</v>
      </c>
      <c r="G10" s="14" t="s">
        <v>488</v>
      </c>
      <c r="H10" s="14" t="s">
        <v>489</v>
      </c>
      <c r="I10" s="14" t="s">
        <v>490</v>
      </c>
      <c r="J10" s="14" t="s">
        <v>491</v>
      </c>
      <c r="K10" s="14" t="s">
        <v>479</v>
      </c>
      <c r="L10" s="55" t="s">
        <v>492</v>
      </c>
      <c r="M10" s="48">
        <v>7.0</v>
      </c>
      <c r="N10" s="14" t="s">
        <v>483</v>
      </c>
    </row>
    <row r="11">
      <c r="A11" s="34"/>
      <c r="B11" s="34"/>
      <c r="C11" s="34"/>
      <c r="D11" s="34"/>
      <c r="E11" s="34"/>
      <c r="F11" s="34"/>
      <c r="G11" s="34"/>
      <c r="H11" s="34"/>
      <c r="I11" s="34"/>
      <c r="J11" s="34"/>
      <c r="K11" s="34"/>
      <c r="L11" s="34"/>
      <c r="M11" s="56"/>
      <c r="N11" s="34"/>
    </row>
    <row r="12">
      <c r="A12" s="16" t="s">
        <v>493</v>
      </c>
      <c r="B12" s="16" t="s">
        <v>458</v>
      </c>
      <c r="C12" s="53">
        <v>46299.0</v>
      </c>
      <c r="D12" s="47" t="str">
        <f>IF(INSTRUCOES!$B$12="","",INSTRUCOES!$B$12)</f>
        <v>GPT-5.6 Luna (Free)</v>
      </c>
      <c r="E12" s="46" t="s">
        <v>473</v>
      </c>
      <c r="F12" s="14" t="s">
        <v>474</v>
      </c>
      <c r="G12" s="14" t="s">
        <v>494</v>
      </c>
      <c r="H12" s="14" t="s">
        <v>495</v>
      </c>
      <c r="I12" s="14" t="s">
        <v>496</v>
      </c>
      <c r="J12" s="14" t="s">
        <v>497</v>
      </c>
      <c r="K12" s="14" t="s">
        <v>479</v>
      </c>
      <c r="L12" s="55" t="s">
        <v>480</v>
      </c>
      <c r="M12" s="48">
        <v>10.0</v>
      </c>
      <c r="N12" s="14" t="s">
        <v>483</v>
      </c>
    </row>
    <row r="13">
      <c r="A13" s="16" t="s">
        <v>493</v>
      </c>
      <c r="B13" s="16" t="s">
        <v>462</v>
      </c>
      <c r="C13" s="53">
        <v>46299.0</v>
      </c>
      <c r="D13" s="47" t="str">
        <f>IF(INSTRUCOES!$B$12="","",INSTRUCOES!$B$12)</f>
        <v>GPT-5.6 Luna (Free)</v>
      </c>
      <c r="E13" s="46" t="s">
        <v>473</v>
      </c>
      <c r="F13" s="14" t="s">
        <v>474</v>
      </c>
      <c r="G13" s="14" t="s">
        <v>494</v>
      </c>
      <c r="H13" s="14" t="s">
        <v>495</v>
      </c>
      <c r="I13" s="14" t="s">
        <v>496</v>
      </c>
      <c r="J13" s="14" t="s">
        <v>497</v>
      </c>
      <c r="K13" s="14" t="s">
        <v>479</v>
      </c>
      <c r="L13" s="55" t="s">
        <v>480</v>
      </c>
      <c r="M13" s="48">
        <v>10.0</v>
      </c>
      <c r="N13" s="14" t="s">
        <v>483</v>
      </c>
    </row>
    <row r="14">
      <c r="A14" s="16" t="s">
        <v>493</v>
      </c>
      <c r="B14" s="16" t="s">
        <v>464</v>
      </c>
      <c r="C14" s="53">
        <v>46299.0</v>
      </c>
      <c r="D14" s="47" t="str">
        <f>IF(INSTRUCOES!$B$12="","",INSTRUCOES!$B$12)</f>
        <v>GPT-5.6 Luna (Free)</v>
      </c>
      <c r="E14" s="46" t="s">
        <v>473</v>
      </c>
      <c r="F14" s="14" t="s">
        <v>474</v>
      </c>
      <c r="G14" s="14" t="s">
        <v>494</v>
      </c>
      <c r="H14" s="14" t="s">
        <v>495</v>
      </c>
      <c r="I14" s="14" t="s">
        <v>496</v>
      </c>
      <c r="J14" s="14" t="s">
        <v>497</v>
      </c>
      <c r="K14" s="14" t="s">
        <v>479</v>
      </c>
      <c r="L14" s="55" t="s">
        <v>480</v>
      </c>
      <c r="M14" s="48">
        <v>10.0</v>
      </c>
      <c r="N14" s="14" t="s">
        <v>483</v>
      </c>
    </row>
    <row r="15">
      <c r="A15" s="16"/>
      <c r="B15" s="16"/>
      <c r="C15" s="16"/>
      <c r="D15" s="16"/>
      <c r="E15" s="16"/>
      <c r="F15" s="16"/>
      <c r="G15" s="16"/>
      <c r="H15" s="16"/>
      <c r="I15" s="16"/>
      <c r="J15" s="16"/>
      <c r="K15" s="16"/>
      <c r="L15" s="16"/>
      <c r="M15" s="16"/>
      <c r="N15" s="16"/>
    </row>
    <row r="16">
      <c r="A16" s="16"/>
      <c r="B16" s="16"/>
      <c r="C16" s="16"/>
      <c r="D16" s="16"/>
      <c r="E16" s="16"/>
      <c r="F16" s="16"/>
      <c r="G16" s="16"/>
      <c r="H16" s="16"/>
      <c r="I16" s="16"/>
      <c r="J16" s="16"/>
      <c r="K16" s="16"/>
      <c r="L16" s="16"/>
      <c r="M16" s="16"/>
      <c r="N16" s="16"/>
    </row>
    <row r="17">
      <c r="A17" s="16"/>
      <c r="B17" s="16"/>
      <c r="C17" s="16"/>
      <c r="D17" s="16"/>
      <c r="E17" s="16"/>
      <c r="F17" s="16"/>
      <c r="G17" s="16"/>
      <c r="H17" s="16"/>
      <c r="I17" s="16"/>
      <c r="J17" s="16"/>
      <c r="K17" s="16"/>
      <c r="L17" s="16"/>
      <c r="M17" s="16"/>
      <c r="N17" s="16"/>
    </row>
    <row r="18">
      <c r="A18" s="16"/>
      <c r="B18" s="16"/>
      <c r="C18" s="16"/>
      <c r="D18" s="16"/>
      <c r="E18" s="16"/>
      <c r="F18" s="16"/>
      <c r="G18" s="16"/>
      <c r="H18" s="16"/>
      <c r="I18" s="16"/>
      <c r="J18" s="16"/>
      <c r="K18" s="16"/>
      <c r="L18" s="16"/>
      <c r="M18" s="16"/>
      <c r="N18" s="16"/>
    </row>
    <row r="19">
      <c r="A19" s="16"/>
      <c r="B19" s="16"/>
      <c r="C19" s="16"/>
      <c r="D19" s="16"/>
      <c r="E19" s="16"/>
      <c r="F19" s="16"/>
      <c r="G19" s="16"/>
      <c r="H19" s="16"/>
      <c r="I19" s="16"/>
      <c r="J19" s="16"/>
      <c r="K19" s="16"/>
      <c r="L19" s="16"/>
      <c r="M19" s="16"/>
      <c r="N19" s="16"/>
    </row>
    <row r="20">
      <c r="A20" s="16"/>
      <c r="B20" s="16"/>
      <c r="C20" s="16"/>
      <c r="D20" s="16"/>
      <c r="E20" s="16"/>
      <c r="F20" s="16"/>
      <c r="G20" s="16"/>
      <c r="H20" s="16"/>
      <c r="I20" s="16"/>
      <c r="J20" s="16"/>
      <c r="K20" s="16"/>
      <c r="L20" s="16"/>
      <c r="M20" s="16"/>
      <c r="N20" s="16"/>
    </row>
    <row r="21">
      <c r="A21" s="16"/>
      <c r="B21" s="16"/>
      <c r="C21" s="16"/>
      <c r="D21" s="16"/>
      <c r="E21" s="16"/>
      <c r="F21" s="16"/>
      <c r="G21" s="16"/>
      <c r="H21" s="16"/>
      <c r="I21" s="16"/>
      <c r="J21" s="16"/>
      <c r="K21" s="16"/>
      <c r="L21" s="16"/>
      <c r="M21" s="16"/>
      <c r="N21" s="16"/>
    </row>
    <row r="22">
      <c r="A22" s="16"/>
      <c r="B22" s="16"/>
      <c r="C22" s="16"/>
      <c r="D22" s="16"/>
      <c r="E22" s="16"/>
      <c r="F22" s="16"/>
      <c r="G22" s="16"/>
      <c r="H22" s="16"/>
      <c r="I22" s="16"/>
      <c r="J22" s="16"/>
      <c r="K22" s="16"/>
      <c r="L22" s="16"/>
      <c r="M22" s="16"/>
      <c r="N22" s="16"/>
    </row>
    <row r="23" ht="15.75" customHeight="1">
      <c r="A23" s="16"/>
      <c r="B23" s="16"/>
      <c r="C23" s="16"/>
      <c r="D23" s="16"/>
      <c r="E23" s="16"/>
      <c r="F23" s="16"/>
      <c r="G23" s="16"/>
      <c r="H23" s="16"/>
      <c r="I23" s="16"/>
      <c r="J23" s="16"/>
      <c r="K23" s="16"/>
      <c r="L23" s="16"/>
      <c r="M23" s="16"/>
      <c r="N23" s="16"/>
    </row>
    <row r="24" ht="15.75" customHeight="1">
      <c r="A24" s="16"/>
      <c r="B24" s="16"/>
      <c r="C24" s="16"/>
      <c r="D24" s="16"/>
      <c r="E24" s="16"/>
      <c r="F24" s="16"/>
      <c r="G24" s="16"/>
      <c r="H24" s="16"/>
      <c r="I24" s="16"/>
      <c r="J24" s="16"/>
      <c r="K24" s="16"/>
      <c r="L24" s="16"/>
      <c r="M24" s="16"/>
      <c r="N24" s="16"/>
    </row>
    <row r="25" ht="15.75" customHeight="1">
      <c r="A25" s="16"/>
      <c r="B25" s="16"/>
      <c r="C25" s="16"/>
      <c r="D25" s="16"/>
      <c r="E25" s="16"/>
      <c r="F25" s="16"/>
      <c r="G25" s="16"/>
      <c r="H25" s="16"/>
      <c r="I25" s="16"/>
      <c r="J25" s="16"/>
      <c r="K25" s="16"/>
      <c r="L25" s="16"/>
      <c r="M25" s="16"/>
      <c r="N25" s="16"/>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autoFilter ref="$A$3:$N$25"/>
  <conditionalFormatting sqref="B4:N25">
    <cfRule type="expression" dxfId="0" priority="1">
      <formula>AND($A4&lt;&gt;"",B4="")</formula>
    </cfRule>
  </conditionalFormatting>
  <dataValidations>
    <dataValidation type="list" allowBlank="1" sqref="B4:B25">
      <formula1>"E1,E2,E3"</formula1>
    </dataValidation>
  </dataValidations>
  <hyperlinks>
    <hyperlink r:id="rId1" ref="L4"/>
    <hyperlink r:id="rId2" ref="L5"/>
    <hyperlink r:id="rId3" ref="L6"/>
    <hyperlink r:id="rId4" ref="L8"/>
    <hyperlink r:id="rId5" ref="L9"/>
    <hyperlink r:id="rId6" ref="L10"/>
    <hyperlink r:id="rId7" ref="L12"/>
    <hyperlink r:id="rId8" ref="L13"/>
    <hyperlink r:id="rId9" ref="L14"/>
  </hyperlinks>
  <printOptions/>
  <pageMargins bottom="1.0" footer="0.0" header="0.0" left="0.75" right="0.75" top="1.0"/>
  <pageSetup paperSize="9" orientation="portrait"/>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3" width="12.0"/>
    <col customWidth="1" min="4" max="4" width="18.0"/>
    <col customWidth="1" min="5" max="5" width="16.0"/>
    <col customWidth="1" min="6" max="6" width="44.0"/>
    <col customWidth="1" min="7" max="7" width="40.0"/>
    <col customWidth="1" min="8" max="8" width="44.0"/>
    <col customWidth="1" min="9" max="10" width="26.0"/>
    <col customWidth="1" min="11" max="11" width="24.0"/>
    <col customWidth="1" min="12" max="12" width="30.0"/>
    <col customWidth="1" min="13" max="13" width="22.0"/>
    <col customWidth="1" min="14" max="14" width="28.0"/>
    <col customWidth="1" min="15" max="15" width="16.0"/>
    <col customWidth="1" min="16" max="16" width="30.0"/>
    <col customWidth="1" min="17" max="17" width="8.71"/>
  </cols>
  <sheetData>
    <row r="1">
      <c r="A1" s="1" t="s">
        <v>503</v>
      </c>
    </row>
    <row r="2">
      <c r="A2" s="2" t="s">
        <v>504</v>
      </c>
    </row>
    <row r="3" ht="31.5" customHeight="1">
      <c r="A3" s="12" t="s">
        <v>32</v>
      </c>
      <c r="B3" s="12" t="s">
        <v>449</v>
      </c>
      <c r="C3" s="12" t="s">
        <v>450</v>
      </c>
      <c r="D3" s="12" t="s">
        <v>451</v>
      </c>
      <c r="E3" s="51" t="s">
        <v>467</v>
      </c>
      <c r="F3" s="12" t="s">
        <v>452</v>
      </c>
      <c r="G3" s="12" t="s">
        <v>453</v>
      </c>
      <c r="H3" s="12" t="s">
        <v>454</v>
      </c>
      <c r="I3" s="12" t="s">
        <v>468</v>
      </c>
      <c r="J3" s="12" t="s">
        <v>469</v>
      </c>
      <c r="K3" s="12" t="s">
        <v>505</v>
      </c>
      <c r="L3" s="12" t="s">
        <v>506</v>
      </c>
      <c r="M3" s="12" t="s">
        <v>470</v>
      </c>
      <c r="N3" s="12" t="s">
        <v>455</v>
      </c>
      <c r="O3" s="12" t="s">
        <v>456</v>
      </c>
      <c r="P3" s="12" t="s">
        <v>23</v>
      </c>
    </row>
    <row r="4">
      <c r="A4" s="16" t="s">
        <v>457</v>
      </c>
      <c r="B4" s="16" t="s">
        <v>458</v>
      </c>
      <c r="C4" s="53">
        <v>46299.0</v>
      </c>
      <c r="D4" s="47" t="str">
        <f>IF(INSTRUCOES!$B$12="","",INSTRUCOES!$B$12)</f>
        <v>GPT-5.6 Luna (Free)</v>
      </c>
      <c r="E4" s="46" t="s">
        <v>473</v>
      </c>
      <c r="F4" s="14" t="s">
        <v>507</v>
      </c>
      <c r="G4" s="14" t="s">
        <v>508</v>
      </c>
      <c r="H4" s="14" t="s">
        <v>509</v>
      </c>
      <c r="I4" s="14" t="s">
        <v>477</v>
      </c>
      <c r="J4" s="14" t="s">
        <v>478</v>
      </c>
      <c r="K4" s="14" t="s">
        <v>510</v>
      </c>
      <c r="L4" s="14" t="s">
        <v>511</v>
      </c>
      <c r="M4" s="14" t="s">
        <v>512</v>
      </c>
      <c r="N4" s="54" t="s">
        <v>513</v>
      </c>
      <c r="O4" s="14">
        <v>6.0</v>
      </c>
      <c r="P4" s="14" t="s">
        <v>483</v>
      </c>
    </row>
    <row r="5">
      <c r="A5" s="16" t="s">
        <v>457</v>
      </c>
      <c r="B5" s="16" t="s">
        <v>462</v>
      </c>
      <c r="C5" s="53">
        <v>46299.0</v>
      </c>
      <c r="D5" s="47" t="str">
        <f>IF(INSTRUCOES!$B$12="","",INSTRUCOES!$B$12)</f>
        <v>GPT-5.6 Luna (Free)</v>
      </c>
      <c r="E5" s="46" t="s">
        <v>473</v>
      </c>
      <c r="F5" s="14" t="s">
        <v>507</v>
      </c>
      <c r="G5" s="14" t="s">
        <v>514</v>
      </c>
      <c r="H5" s="14" t="s">
        <v>484</v>
      </c>
      <c r="I5" s="14" t="s">
        <v>477</v>
      </c>
      <c r="J5" s="14" t="s">
        <v>478</v>
      </c>
      <c r="K5" s="14" t="s">
        <v>510</v>
      </c>
      <c r="L5" s="14" t="s">
        <v>515</v>
      </c>
      <c r="M5" s="14" t="s">
        <v>512</v>
      </c>
      <c r="N5" s="54" t="s">
        <v>516</v>
      </c>
      <c r="O5" s="57">
        <v>6.0</v>
      </c>
      <c r="P5" s="14" t="s">
        <v>483</v>
      </c>
    </row>
    <row r="6">
      <c r="A6" s="16" t="s">
        <v>457</v>
      </c>
      <c r="B6" s="16" t="s">
        <v>464</v>
      </c>
      <c r="C6" s="53">
        <v>46299.0</v>
      </c>
      <c r="D6" s="47" t="str">
        <f>IF(INSTRUCOES!$B$12="","",INSTRUCOES!$B$12)</f>
        <v>GPT-5.6 Luna (Free)</v>
      </c>
      <c r="E6" s="46" t="s">
        <v>473</v>
      </c>
      <c r="F6" s="14" t="s">
        <v>507</v>
      </c>
      <c r="G6" s="14" t="s">
        <v>514</v>
      </c>
      <c r="H6" s="14" t="s">
        <v>484</v>
      </c>
      <c r="I6" s="14" t="s">
        <v>477</v>
      </c>
      <c r="J6" s="14" t="s">
        <v>478</v>
      </c>
      <c r="K6" s="14" t="s">
        <v>510</v>
      </c>
      <c r="L6" s="14" t="s">
        <v>515</v>
      </c>
      <c r="M6" s="14" t="s">
        <v>512</v>
      </c>
      <c r="N6" s="54" t="s">
        <v>517</v>
      </c>
      <c r="O6" s="57">
        <v>6.0</v>
      </c>
      <c r="P6" s="14" t="s">
        <v>483</v>
      </c>
    </row>
    <row r="7">
      <c r="A7" s="34"/>
      <c r="B7" s="34"/>
      <c r="C7" s="58"/>
      <c r="D7" s="34"/>
      <c r="E7" s="34"/>
      <c r="F7" s="34"/>
      <c r="G7" s="34"/>
      <c r="H7" s="34"/>
      <c r="I7" s="34"/>
      <c r="J7" s="34"/>
      <c r="K7" s="34"/>
      <c r="L7" s="34"/>
      <c r="M7" s="34"/>
      <c r="N7" s="34"/>
      <c r="O7" s="34"/>
      <c r="P7" s="34"/>
    </row>
    <row r="8">
      <c r="A8" s="16" t="s">
        <v>472</v>
      </c>
      <c r="B8" s="16" t="s">
        <v>458</v>
      </c>
      <c r="C8" s="53">
        <v>46299.0</v>
      </c>
      <c r="D8" s="47" t="str">
        <f>IF(INSTRUCOES!$B$12="","",INSTRUCOES!$B$12)</f>
        <v>GPT-5.6 Luna (Free)</v>
      </c>
      <c r="E8" s="46" t="s">
        <v>473</v>
      </c>
      <c r="F8" s="14" t="s">
        <v>507</v>
      </c>
      <c r="G8" s="14" t="s">
        <v>518</v>
      </c>
      <c r="H8" s="14" t="s">
        <v>489</v>
      </c>
      <c r="I8" s="14" t="s">
        <v>490</v>
      </c>
      <c r="J8" s="14" t="s">
        <v>491</v>
      </c>
      <c r="K8" s="14" t="s">
        <v>519</v>
      </c>
      <c r="L8" s="14" t="s">
        <v>520</v>
      </c>
      <c r="M8" s="14" t="s">
        <v>512</v>
      </c>
      <c r="N8" s="54" t="s">
        <v>521</v>
      </c>
      <c r="O8" s="57">
        <v>7.0</v>
      </c>
      <c r="P8" s="14" t="s">
        <v>483</v>
      </c>
    </row>
    <row r="9">
      <c r="A9" s="16" t="s">
        <v>472</v>
      </c>
      <c r="B9" s="16" t="s">
        <v>462</v>
      </c>
      <c r="C9" s="53">
        <v>46299.0</v>
      </c>
      <c r="D9" s="47" t="str">
        <f>IF(INSTRUCOES!$B$12="","",INSTRUCOES!$B$12)</f>
        <v>GPT-5.6 Luna (Free)</v>
      </c>
      <c r="E9" s="46" t="s">
        <v>473</v>
      </c>
      <c r="F9" s="14" t="s">
        <v>507</v>
      </c>
      <c r="G9" s="14" t="s">
        <v>518</v>
      </c>
      <c r="H9" s="14" t="s">
        <v>489</v>
      </c>
      <c r="I9" s="14" t="s">
        <v>490</v>
      </c>
      <c r="J9" s="14" t="s">
        <v>491</v>
      </c>
      <c r="K9" s="14" t="s">
        <v>519</v>
      </c>
      <c r="L9" s="14" t="s">
        <v>520</v>
      </c>
      <c r="M9" s="14" t="s">
        <v>512</v>
      </c>
      <c r="N9" s="54" t="s">
        <v>524</v>
      </c>
      <c r="O9" s="57">
        <v>7.0</v>
      </c>
      <c r="P9" s="14" t="s">
        <v>483</v>
      </c>
    </row>
    <row r="10">
      <c r="A10" s="16" t="s">
        <v>472</v>
      </c>
      <c r="B10" s="16" t="s">
        <v>464</v>
      </c>
      <c r="C10" s="53">
        <v>46299.0</v>
      </c>
      <c r="D10" s="47" t="str">
        <f>IF(INSTRUCOES!$B$12="","",INSTRUCOES!$B$12)</f>
        <v>GPT-5.6 Luna (Free)</v>
      </c>
      <c r="E10" s="46" t="s">
        <v>473</v>
      </c>
      <c r="F10" s="14" t="s">
        <v>507</v>
      </c>
      <c r="G10" s="14" t="s">
        <v>518</v>
      </c>
      <c r="H10" s="14" t="s">
        <v>489</v>
      </c>
      <c r="I10" s="14" t="s">
        <v>490</v>
      </c>
      <c r="J10" s="14" t="s">
        <v>491</v>
      </c>
      <c r="K10" s="14" t="s">
        <v>519</v>
      </c>
      <c r="L10" s="14" t="s">
        <v>520</v>
      </c>
      <c r="M10" s="14" t="s">
        <v>512</v>
      </c>
      <c r="N10" s="54" t="s">
        <v>533</v>
      </c>
      <c r="O10" s="57">
        <v>7.0</v>
      </c>
      <c r="P10" s="14" t="s">
        <v>483</v>
      </c>
    </row>
    <row r="11">
      <c r="A11" s="34"/>
      <c r="B11" s="34"/>
      <c r="C11" s="58"/>
      <c r="D11" s="34"/>
      <c r="E11" s="59"/>
      <c r="F11" s="59"/>
      <c r="G11" s="34"/>
      <c r="H11" s="34"/>
      <c r="I11" s="34"/>
      <c r="J11" s="34"/>
      <c r="K11" s="34"/>
      <c r="L11" s="34"/>
      <c r="M11" s="34"/>
      <c r="N11" s="34"/>
      <c r="O11" s="34"/>
      <c r="P11" s="34"/>
    </row>
    <row r="12">
      <c r="A12" s="16" t="s">
        <v>493</v>
      </c>
      <c r="B12" s="16" t="s">
        <v>458</v>
      </c>
      <c r="C12" s="53">
        <v>46299.0</v>
      </c>
      <c r="D12" s="47" t="str">
        <f>IF(INSTRUCOES!$B$12="","",INSTRUCOES!$B$12)</f>
        <v>GPT-5.6 Luna (Free)</v>
      </c>
      <c r="E12" s="46" t="s">
        <v>473</v>
      </c>
      <c r="F12" s="14" t="s">
        <v>507</v>
      </c>
      <c r="G12" s="14" t="s">
        <v>538</v>
      </c>
      <c r="H12" s="14" t="s">
        <v>539</v>
      </c>
      <c r="I12" s="14" t="s">
        <v>496</v>
      </c>
      <c r="J12" s="14" t="s">
        <v>497</v>
      </c>
      <c r="K12" s="14" t="s">
        <v>541</v>
      </c>
      <c r="L12" s="14" t="s">
        <v>542</v>
      </c>
      <c r="M12" s="14" t="s">
        <v>512</v>
      </c>
      <c r="N12" s="54" t="s">
        <v>544</v>
      </c>
      <c r="O12" s="14">
        <v>8.0</v>
      </c>
      <c r="P12" s="14" t="s">
        <v>483</v>
      </c>
    </row>
    <row r="13">
      <c r="A13" s="16" t="s">
        <v>493</v>
      </c>
      <c r="B13" s="16" t="s">
        <v>462</v>
      </c>
      <c r="C13" s="53">
        <v>46299.0</v>
      </c>
      <c r="D13" s="47" t="str">
        <f>IF(INSTRUCOES!$B$12="","",INSTRUCOES!$B$12)</f>
        <v>GPT-5.6 Luna (Free)</v>
      </c>
      <c r="E13" s="46" t="s">
        <v>473</v>
      </c>
      <c r="F13" s="14" t="s">
        <v>507</v>
      </c>
      <c r="G13" s="14" t="s">
        <v>538</v>
      </c>
      <c r="H13" s="14" t="s">
        <v>551</v>
      </c>
      <c r="I13" s="14" t="s">
        <v>496</v>
      </c>
      <c r="J13" s="14" t="s">
        <v>497</v>
      </c>
      <c r="K13" s="14" t="s">
        <v>541</v>
      </c>
      <c r="L13" s="14" t="s">
        <v>542</v>
      </c>
      <c r="M13" s="14" t="s">
        <v>512</v>
      </c>
      <c r="N13" s="54" t="s">
        <v>552</v>
      </c>
      <c r="O13" s="14">
        <v>9.0</v>
      </c>
      <c r="P13" s="14" t="s">
        <v>483</v>
      </c>
    </row>
    <row r="14">
      <c r="A14" s="16" t="s">
        <v>493</v>
      </c>
      <c r="B14" s="16" t="s">
        <v>464</v>
      </c>
      <c r="C14" s="53">
        <v>46299.0</v>
      </c>
      <c r="D14" s="47" t="str">
        <f>IF(INSTRUCOES!$B$12="","",INSTRUCOES!$B$12)</f>
        <v>GPT-5.6 Luna (Free)</v>
      </c>
      <c r="E14" s="46" t="s">
        <v>473</v>
      </c>
      <c r="F14" s="14" t="s">
        <v>507</v>
      </c>
      <c r="G14" s="14" t="s">
        <v>538</v>
      </c>
      <c r="H14" s="14" t="s">
        <v>551</v>
      </c>
      <c r="I14" s="14" t="s">
        <v>496</v>
      </c>
      <c r="J14" s="14" t="s">
        <v>497</v>
      </c>
      <c r="K14" s="14" t="s">
        <v>541</v>
      </c>
      <c r="L14" s="14" t="s">
        <v>542</v>
      </c>
      <c r="M14" s="14" t="s">
        <v>512</v>
      </c>
      <c r="N14" s="54" t="s">
        <v>561</v>
      </c>
      <c r="O14" s="14">
        <v>9.0</v>
      </c>
      <c r="P14" s="14" t="s">
        <v>483</v>
      </c>
    </row>
    <row r="15">
      <c r="A15" s="16"/>
      <c r="B15" s="16"/>
      <c r="C15" s="16"/>
      <c r="D15" s="16"/>
      <c r="E15" s="16"/>
      <c r="F15" s="16"/>
      <c r="G15" s="16"/>
      <c r="H15" s="16"/>
      <c r="I15" s="16"/>
      <c r="J15" s="16"/>
      <c r="K15" s="16"/>
      <c r="L15" s="16"/>
      <c r="M15" s="16"/>
      <c r="N15" s="16"/>
      <c r="O15" s="16"/>
      <c r="P15" s="16"/>
    </row>
    <row r="16">
      <c r="A16" s="16"/>
      <c r="B16" s="16"/>
      <c r="C16" s="16"/>
      <c r="D16" s="16"/>
      <c r="E16" s="16"/>
      <c r="F16" s="16"/>
      <c r="G16" s="16"/>
      <c r="H16" s="16"/>
      <c r="I16" s="16"/>
      <c r="J16" s="16"/>
      <c r="K16" s="16"/>
      <c r="L16" s="16"/>
      <c r="M16" s="16"/>
      <c r="N16" s="16"/>
      <c r="O16" s="16"/>
      <c r="P16" s="16"/>
    </row>
    <row r="17">
      <c r="A17" s="16"/>
      <c r="B17" s="16"/>
      <c r="C17" s="16"/>
      <c r="D17" s="16"/>
      <c r="E17" s="16"/>
      <c r="F17" s="16"/>
      <c r="G17" s="16"/>
      <c r="H17" s="16"/>
      <c r="I17" s="16"/>
      <c r="J17" s="16"/>
      <c r="K17" s="16"/>
      <c r="L17" s="16"/>
      <c r="M17" s="16"/>
      <c r="N17" s="16"/>
      <c r="O17" s="16"/>
      <c r="P17" s="16"/>
    </row>
    <row r="18">
      <c r="A18" s="16"/>
      <c r="B18" s="16"/>
      <c r="C18" s="16"/>
      <c r="D18" s="16"/>
      <c r="E18" s="16"/>
      <c r="F18" s="16"/>
      <c r="G18" s="16"/>
      <c r="H18" s="16"/>
      <c r="I18" s="16"/>
      <c r="J18" s="16"/>
      <c r="K18" s="16"/>
      <c r="L18" s="16"/>
      <c r="M18" s="16"/>
      <c r="N18" s="16"/>
      <c r="O18" s="16"/>
      <c r="P18" s="16"/>
    </row>
    <row r="19">
      <c r="A19" s="16"/>
      <c r="B19" s="16"/>
      <c r="C19" s="16"/>
      <c r="D19" s="16"/>
      <c r="E19" s="16"/>
      <c r="F19" s="16"/>
      <c r="G19" s="16"/>
      <c r="H19" s="16"/>
      <c r="I19" s="16"/>
      <c r="J19" s="16"/>
      <c r="K19" s="16"/>
      <c r="L19" s="16"/>
      <c r="M19" s="16"/>
      <c r="N19" s="16"/>
      <c r="O19" s="16"/>
      <c r="P19" s="16"/>
    </row>
    <row r="20">
      <c r="A20" s="16"/>
      <c r="B20" s="16"/>
      <c r="C20" s="16"/>
      <c r="D20" s="16"/>
      <c r="E20" s="16"/>
      <c r="F20" s="16"/>
      <c r="G20" s="16"/>
      <c r="H20" s="16"/>
      <c r="I20" s="16"/>
      <c r="J20" s="16"/>
      <c r="K20" s="16"/>
      <c r="L20" s="16"/>
      <c r="M20" s="16"/>
      <c r="N20" s="16"/>
      <c r="O20" s="16"/>
      <c r="P20" s="16"/>
    </row>
    <row r="21">
      <c r="A21" s="16"/>
      <c r="B21" s="16"/>
      <c r="C21" s="16"/>
      <c r="D21" s="16"/>
      <c r="E21" s="16"/>
      <c r="F21" s="16"/>
      <c r="G21" s="16"/>
      <c r="H21" s="16"/>
      <c r="I21" s="16"/>
      <c r="J21" s="16"/>
      <c r="K21" s="16"/>
      <c r="L21" s="16"/>
      <c r="M21" s="16"/>
      <c r="N21" s="16"/>
      <c r="O21" s="16"/>
      <c r="P21" s="16"/>
    </row>
    <row r="22">
      <c r="A22" s="16"/>
      <c r="B22" s="16"/>
      <c r="C22" s="16"/>
      <c r="D22" s="16"/>
      <c r="E22" s="16"/>
      <c r="F22" s="16"/>
      <c r="G22" s="16"/>
      <c r="H22" s="16"/>
      <c r="I22" s="16"/>
      <c r="J22" s="16"/>
      <c r="K22" s="16"/>
      <c r="L22" s="16"/>
      <c r="M22" s="16"/>
      <c r="N22" s="16"/>
      <c r="O22" s="16"/>
      <c r="P22" s="16"/>
    </row>
    <row r="23" ht="15.75" customHeight="1">
      <c r="A23" s="16"/>
      <c r="B23" s="16"/>
      <c r="C23" s="16"/>
      <c r="D23" s="16"/>
      <c r="E23" s="16"/>
      <c r="F23" s="16"/>
      <c r="G23" s="16"/>
      <c r="H23" s="16"/>
      <c r="I23" s="16"/>
      <c r="J23" s="16"/>
      <c r="K23" s="16"/>
      <c r="L23" s="16"/>
      <c r="M23" s="16"/>
      <c r="N23" s="16"/>
      <c r="O23" s="16"/>
      <c r="P23" s="16"/>
    </row>
    <row r="24" ht="15.75" customHeight="1">
      <c r="A24" s="16"/>
      <c r="B24" s="16"/>
      <c r="C24" s="16"/>
      <c r="D24" s="16"/>
      <c r="E24" s="16"/>
      <c r="F24" s="16"/>
      <c r="G24" s="16"/>
      <c r="H24" s="16"/>
      <c r="I24" s="16"/>
      <c r="J24" s="16"/>
      <c r="K24" s="16"/>
      <c r="L24" s="16"/>
      <c r="M24" s="16"/>
      <c r="N24" s="16"/>
      <c r="O24" s="16"/>
      <c r="P24" s="16"/>
    </row>
    <row r="25" ht="15.75" customHeight="1">
      <c r="A25" s="16"/>
      <c r="B25" s="16"/>
      <c r="C25" s="16"/>
      <c r="D25" s="16"/>
      <c r="E25" s="16"/>
      <c r="F25" s="16"/>
      <c r="G25" s="16"/>
      <c r="H25" s="16"/>
      <c r="I25" s="16"/>
      <c r="J25" s="16"/>
      <c r="K25" s="16"/>
      <c r="L25" s="16"/>
      <c r="M25" s="16"/>
      <c r="N25" s="16"/>
      <c r="O25" s="16"/>
      <c r="P25" s="16"/>
    </row>
    <row r="26" ht="15.75" customHeight="1">
      <c r="A26" s="16"/>
      <c r="B26" s="16"/>
      <c r="C26" s="16"/>
      <c r="D26" s="16"/>
      <c r="E26" s="16"/>
      <c r="F26" s="16"/>
      <c r="G26" s="16"/>
      <c r="H26" s="16"/>
      <c r="I26" s="16"/>
      <c r="J26" s="16"/>
      <c r="K26" s="16"/>
      <c r="L26" s="16"/>
      <c r="M26" s="16"/>
      <c r="N26" s="16"/>
      <c r="O26" s="16"/>
      <c r="P26" s="16"/>
    </row>
    <row r="27" ht="15.75" customHeight="1">
      <c r="A27" s="16"/>
      <c r="B27" s="16"/>
      <c r="C27" s="16"/>
      <c r="D27" s="16"/>
      <c r="E27" s="16"/>
      <c r="F27" s="16"/>
      <c r="G27" s="16"/>
      <c r="H27" s="16"/>
      <c r="I27" s="16"/>
      <c r="J27" s="16"/>
      <c r="K27" s="16"/>
      <c r="L27" s="16"/>
      <c r="M27" s="16"/>
      <c r="N27" s="16"/>
      <c r="O27" s="16"/>
      <c r="P27" s="16"/>
    </row>
    <row r="28" ht="15.75" customHeight="1">
      <c r="A28" s="16"/>
      <c r="B28" s="16"/>
      <c r="C28" s="16"/>
      <c r="D28" s="16"/>
      <c r="E28" s="16"/>
      <c r="F28" s="16"/>
      <c r="G28" s="16"/>
      <c r="H28" s="16"/>
      <c r="I28" s="16"/>
      <c r="J28" s="16"/>
      <c r="K28" s="16"/>
      <c r="L28" s="16"/>
      <c r="M28" s="16"/>
      <c r="N28" s="16"/>
      <c r="O28" s="16"/>
      <c r="P28" s="16"/>
    </row>
    <row r="29" ht="15.75" customHeight="1">
      <c r="A29" s="16"/>
      <c r="B29" s="16"/>
      <c r="C29" s="16"/>
      <c r="D29" s="16"/>
      <c r="E29" s="16"/>
      <c r="F29" s="16"/>
      <c r="G29" s="16"/>
      <c r="H29" s="16"/>
      <c r="I29" s="16"/>
      <c r="J29" s="16"/>
      <c r="K29" s="16"/>
      <c r="L29" s="16"/>
      <c r="M29" s="16"/>
      <c r="N29" s="16"/>
      <c r="O29" s="16"/>
      <c r="P29" s="16"/>
    </row>
    <row r="30" ht="15.75" customHeight="1">
      <c r="A30" s="16"/>
      <c r="B30" s="16"/>
      <c r="C30" s="16"/>
      <c r="D30" s="16"/>
      <c r="E30" s="16"/>
      <c r="F30" s="16"/>
      <c r="G30" s="16"/>
      <c r="H30" s="16"/>
      <c r="I30" s="16"/>
      <c r="J30" s="16"/>
      <c r="K30" s="16"/>
      <c r="L30" s="16"/>
      <c r="M30" s="16"/>
      <c r="N30" s="16"/>
      <c r="O30" s="16"/>
      <c r="P30" s="16"/>
    </row>
    <row r="31" ht="15.75" customHeight="1">
      <c r="A31" s="16"/>
      <c r="B31" s="16"/>
      <c r="C31" s="16"/>
      <c r="D31" s="16"/>
      <c r="E31" s="16"/>
      <c r="F31" s="16"/>
      <c r="G31" s="16"/>
      <c r="H31" s="16"/>
      <c r="I31" s="16"/>
      <c r="J31" s="16"/>
      <c r="K31" s="16"/>
      <c r="L31" s="16"/>
      <c r="M31" s="16"/>
      <c r="N31" s="16"/>
      <c r="O31" s="16"/>
      <c r="P31" s="16"/>
    </row>
    <row r="32" ht="15.75" customHeight="1">
      <c r="A32" s="16"/>
      <c r="B32" s="16"/>
      <c r="C32" s="16"/>
      <c r="D32" s="16"/>
      <c r="E32" s="16"/>
      <c r="F32" s="16"/>
      <c r="G32" s="16"/>
      <c r="H32" s="16"/>
      <c r="I32" s="16"/>
      <c r="J32" s="16"/>
      <c r="K32" s="16"/>
      <c r="L32" s="16"/>
      <c r="M32" s="16"/>
      <c r="N32" s="16"/>
      <c r="O32" s="16"/>
      <c r="P32" s="16"/>
    </row>
    <row r="33" ht="15.75" customHeight="1">
      <c r="A33" s="16"/>
      <c r="B33" s="16"/>
      <c r="C33" s="16"/>
      <c r="D33" s="16"/>
      <c r="E33" s="16"/>
      <c r="F33" s="16"/>
      <c r="G33" s="16"/>
      <c r="H33" s="16"/>
      <c r="I33" s="16"/>
      <c r="J33" s="16"/>
      <c r="K33" s="16"/>
      <c r="L33" s="16"/>
      <c r="M33" s="16"/>
      <c r="N33" s="16"/>
      <c r="O33" s="16"/>
      <c r="P33" s="16"/>
    </row>
    <row r="34" ht="15.75" customHeight="1">
      <c r="A34" s="16"/>
      <c r="B34" s="16"/>
      <c r="C34" s="16"/>
      <c r="D34" s="16"/>
      <c r="E34" s="16"/>
      <c r="F34" s="16"/>
      <c r="G34" s="16"/>
      <c r="H34" s="16"/>
      <c r="I34" s="16"/>
      <c r="J34" s="16"/>
      <c r="K34" s="16"/>
      <c r="L34" s="16"/>
      <c r="M34" s="16"/>
      <c r="N34" s="16"/>
      <c r="O34" s="16"/>
      <c r="P34" s="16"/>
    </row>
    <row r="35" ht="15.75" customHeight="1">
      <c r="A35" s="16"/>
      <c r="B35" s="16"/>
      <c r="C35" s="16"/>
      <c r="D35" s="16"/>
      <c r="E35" s="16"/>
      <c r="F35" s="16"/>
      <c r="G35" s="16"/>
      <c r="H35" s="16"/>
      <c r="I35" s="16"/>
      <c r="J35" s="16"/>
      <c r="K35" s="16"/>
      <c r="L35" s="16"/>
      <c r="M35" s="16"/>
      <c r="N35" s="16"/>
      <c r="O35" s="16"/>
      <c r="P35" s="16"/>
    </row>
    <row r="36" ht="15.75" customHeight="1">
      <c r="A36" s="16"/>
      <c r="B36" s="16"/>
      <c r="C36" s="16"/>
      <c r="D36" s="16"/>
      <c r="E36" s="16"/>
      <c r="F36" s="16"/>
      <c r="G36" s="16"/>
      <c r="H36" s="16"/>
      <c r="I36" s="16"/>
      <c r="J36" s="16"/>
      <c r="K36" s="16"/>
      <c r="L36" s="16"/>
      <c r="M36" s="16"/>
      <c r="N36" s="16"/>
      <c r="O36" s="16"/>
      <c r="P36" s="16"/>
    </row>
    <row r="37" ht="15.75" customHeight="1">
      <c r="A37" s="16"/>
      <c r="B37" s="16"/>
      <c r="C37" s="16"/>
      <c r="D37" s="16"/>
      <c r="E37" s="16"/>
      <c r="F37" s="16"/>
      <c r="G37" s="16"/>
      <c r="H37" s="16"/>
      <c r="I37" s="16"/>
      <c r="J37" s="16"/>
      <c r="K37" s="16"/>
      <c r="L37" s="16"/>
      <c r="M37" s="16"/>
      <c r="N37" s="16"/>
      <c r="O37" s="16"/>
      <c r="P37" s="16"/>
    </row>
    <row r="38" ht="15.75" customHeight="1">
      <c r="A38" s="16"/>
      <c r="B38" s="16"/>
      <c r="C38" s="16"/>
      <c r="D38" s="16"/>
      <c r="E38" s="16"/>
      <c r="F38" s="16"/>
      <c r="G38" s="16"/>
      <c r="H38" s="16"/>
      <c r="I38" s="16"/>
      <c r="J38" s="16"/>
      <c r="K38" s="16"/>
      <c r="L38" s="16"/>
      <c r="M38" s="16"/>
      <c r="N38" s="16"/>
      <c r="O38" s="16"/>
      <c r="P38" s="16"/>
    </row>
    <row r="39" ht="15.75" customHeight="1">
      <c r="A39" s="16"/>
      <c r="B39" s="16"/>
      <c r="C39" s="16"/>
      <c r="D39" s="16"/>
      <c r="E39" s="16"/>
      <c r="F39" s="16"/>
      <c r="G39" s="16"/>
      <c r="H39" s="16"/>
      <c r="I39" s="16"/>
      <c r="J39" s="16"/>
      <c r="K39" s="16"/>
      <c r="L39" s="16"/>
      <c r="M39" s="16"/>
      <c r="N39" s="16"/>
      <c r="O39" s="16"/>
      <c r="P39" s="16"/>
    </row>
    <row r="40" ht="15.75" customHeight="1">
      <c r="A40" s="16"/>
      <c r="B40" s="16"/>
      <c r="C40" s="16"/>
      <c r="D40" s="16"/>
      <c r="E40" s="16"/>
      <c r="F40" s="16"/>
      <c r="G40" s="16"/>
      <c r="H40" s="16"/>
      <c r="I40" s="16"/>
      <c r="J40" s="16"/>
      <c r="K40" s="16"/>
      <c r="L40" s="16"/>
      <c r="M40" s="16"/>
      <c r="N40" s="16"/>
      <c r="O40" s="16"/>
      <c r="P40" s="16"/>
    </row>
    <row r="41" ht="15.75" customHeight="1">
      <c r="A41" s="16"/>
      <c r="B41" s="16"/>
      <c r="C41" s="16"/>
      <c r="D41" s="16"/>
      <c r="E41" s="16"/>
      <c r="F41" s="16"/>
      <c r="G41" s="16"/>
      <c r="H41" s="16"/>
      <c r="I41" s="16"/>
      <c r="J41" s="16"/>
      <c r="K41" s="16"/>
      <c r="L41" s="16"/>
      <c r="M41" s="16"/>
      <c r="N41" s="16"/>
      <c r="O41" s="16"/>
      <c r="P41" s="16"/>
    </row>
    <row r="42" ht="15.75" customHeight="1">
      <c r="A42" s="16"/>
      <c r="B42" s="16"/>
      <c r="C42" s="16"/>
      <c r="D42" s="16"/>
      <c r="E42" s="16"/>
      <c r="F42" s="16"/>
      <c r="G42" s="16"/>
      <c r="H42" s="16"/>
      <c r="I42" s="16"/>
      <c r="J42" s="16"/>
      <c r="K42" s="16"/>
      <c r="L42" s="16"/>
      <c r="M42" s="16"/>
      <c r="N42" s="16"/>
      <c r="O42" s="16"/>
      <c r="P42" s="16"/>
    </row>
    <row r="43" ht="15.75" customHeight="1">
      <c r="A43" s="16"/>
      <c r="B43" s="16"/>
      <c r="C43" s="16"/>
      <c r="D43" s="16"/>
      <c r="E43" s="16"/>
      <c r="F43" s="16"/>
      <c r="G43" s="16"/>
      <c r="H43" s="16"/>
      <c r="I43" s="16"/>
      <c r="J43" s="16"/>
      <c r="K43" s="16"/>
      <c r="L43" s="16"/>
      <c r="M43" s="16"/>
      <c r="N43" s="16"/>
      <c r="O43" s="16"/>
      <c r="P43" s="16"/>
    </row>
    <row r="44" ht="15.75" customHeight="1">
      <c r="A44" s="16"/>
      <c r="B44" s="16"/>
      <c r="C44" s="16"/>
      <c r="D44" s="16"/>
      <c r="E44" s="16"/>
      <c r="F44" s="16"/>
      <c r="G44" s="16"/>
      <c r="H44" s="16"/>
      <c r="I44" s="16"/>
      <c r="J44" s="16"/>
      <c r="K44" s="16"/>
      <c r="L44" s="16"/>
      <c r="M44" s="16"/>
      <c r="N44" s="16"/>
      <c r="O44" s="16"/>
      <c r="P44" s="16"/>
    </row>
    <row r="45" ht="15.75" customHeight="1">
      <c r="A45" s="16"/>
      <c r="B45" s="16"/>
      <c r="C45" s="16"/>
      <c r="D45" s="16"/>
      <c r="E45" s="16"/>
      <c r="F45" s="16"/>
      <c r="G45" s="16"/>
      <c r="H45" s="16"/>
      <c r="I45" s="16"/>
      <c r="J45" s="16"/>
      <c r="K45" s="16"/>
      <c r="L45" s="16"/>
      <c r="M45" s="16"/>
      <c r="N45" s="16"/>
      <c r="O45" s="16"/>
      <c r="P45" s="16"/>
    </row>
    <row r="46" ht="15.75" customHeight="1">
      <c r="A46" s="16"/>
      <c r="B46" s="16"/>
      <c r="C46" s="16"/>
      <c r="D46" s="16"/>
      <c r="E46" s="16"/>
      <c r="F46" s="16"/>
      <c r="G46" s="16"/>
      <c r="H46" s="16"/>
      <c r="I46" s="16"/>
      <c r="J46" s="16"/>
      <c r="K46" s="16"/>
      <c r="L46" s="16"/>
      <c r="M46" s="16"/>
      <c r="N46" s="16"/>
      <c r="O46" s="16"/>
      <c r="P46" s="16"/>
    </row>
    <row r="47" ht="15.75" customHeight="1">
      <c r="A47" s="16"/>
      <c r="B47" s="16"/>
      <c r="C47" s="16"/>
      <c r="D47" s="16"/>
      <c r="E47" s="16"/>
      <c r="F47" s="16"/>
      <c r="G47" s="16"/>
      <c r="H47" s="16"/>
      <c r="I47" s="16"/>
      <c r="J47" s="16"/>
      <c r="K47" s="16"/>
      <c r="L47" s="16"/>
      <c r="M47" s="16"/>
      <c r="N47" s="16"/>
      <c r="O47" s="16"/>
      <c r="P47" s="16"/>
    </row>
    <row r="48" ht="15.75" customHeight="1">
      <c r="A48" s="16"/>
      <c r="B48" s="16"/>
      <c r="C48" s="16"/>
      <c r="D48" s="16"/>
      <c r="E48" s="16"/>
      <c r="F48" s="16"/>
      <c r="G48" s="16"/>
      <c r="H48" s="16"/>
      <c r="I48" s="16"/>
      <c r="J48" s="16"/>
      <c r="K48" s="16"/>
      <c r="L48" s="16"/>
      <c r="M48" s="16"/>
      <c r="N48" s="16"/>
      <c r="O48" s="16"/>
      <c r="P48" s="16"/>
    </row>
    <row r="49" ht="15.75" customHeight="1">
      <c r="A49" s="16"/>
      <c r="B49" s="16"/>
      <c r="C49" s="16"/>
      <c r="D49" s="16"/>
      <c r="E49" s="16"/>
      <c r="F49" s="16"/>
      <c r="G49" s="16"/>
      <c r="H49" s="16"/>
      <c r="I49" s="16"/>
      <c r="J49" s="16"/>
      <c r="K49" s="16"/>
      <c r="L49" s="16"/>
      <c r="M49" s="16"/>
      <c r="N49" s="16"/>
      <c r="O49" s="16"/>
      <c r="P49" s="16"/>
    </row>
    <row r="50" ht="15.75" customHeight="1">
      <c r="A50" s="16"/>
      <c r="B50" s="16"/>
      <c r="C50" s="16"/>
      <c r="D50" s="16"/>
      <c r="E50" s="16"/>
      <c r="F50" s="16"/>
      <c r="G50" s="16"/>
      <c r="H50" s="16"/>
      <c r="I50" s="16"/>
      <c r="J50" s="16"/>
      <c r="K50" s="16"/>
      <c r="L50" s="16"/>
      <c r="M50" s="16"/>
      <c r="N50" s="16"/>
      <c r="O50" s="16"/>
      <c r="P50" s="16"/>
    </row>
    <row r="51" ht="15.75" customHeight="1">
      <c r="A51" s="16"/>
      <c r="B51" s="16"/>
      <c r="C51" s="16"/>
      <c r="D51" s="16"/>
      <c r="E51" s="16"/>
      <c r="F51" s="16"/>
      <c r="G51" s="16"/>
      <c r="H51" s="16"/>
      <c r="I51" s="16"/>
      <c r="J51" s="16"/>
      <c r="K51" s="16"/>
      <c r="L51" s="16"/>
      <c r="M51" s="16"/>
      <c r="N51" s="16"/>
      <c r="O51" s="16"/>
      <c r="P51" s="16"/>
    </row>
    <row r="52" ht="15.75" customHeight="1">
      <c r="A52" s="16"/>
      <c r="B52" s="16"/>
      <c r="C52" s="16"/>
      <c r="D52" s="16"/>
      <c r="E52" s="16"/>
      <c r="F52" s="16"/>
      <c r="G52" s="16"/>
      <c r="H52" s="16"/>
      <c r="I52" s="16"/>
      <c r="J52" s="16"/>
      <c r="K52" s="16"/>
      <c r="L52" s="16"/>
      <c r="M52" s="16"/>
      <c r="N52" s="16"/>
      <c r="O52" s="16"/>
      <c r="P52" s="16"/>
    </row>
    <row r="53" ht="15.75" customHeight="1">
      <c r="A53" s="16"/>
      <c r="B53" s="16"/>
      <c r="C53" s="16"/>
      <c r="D53" s="16"/>
      <c r="E53" s="16"/>
      <c r="F53" s="16"/>
      <c r="G53" s="16"/>
      <c r="H53" s="16"/>
      <c r="I53" s="16"/>
      <c r="J53" s="16"/>
      <c r="K53" s="16"/>
      <c r="L53" s="16"/>
      <c r="M53" s="16"/>
      <c r="N53" s="16"/>
      <c r="O53" s="16"/>
      <c r="P53" s="16"/>
    </row>
    <row r="54" ht="15.75" customHeight="1">
      <c r="A54" s="16"/>
      <c r="B54" s="16"/>
      <c r="C54" s="16"/>
      <c r="D54" s="16"/>
      <c r="E54" s="16"/>
      <c r="F54" s="16"/>
      <c r="G54" s="16"/>
      <c r="H54" s="16"/>
      <c r="I54" s="16"/>
      <c r="J54" s="16"/>
      <c r="K54" s="16"/>
      <c r="L54" s="16"/>
      <c r="M54" s="16"/>
      <c r="N54" s="16"/>
      <c r="O54" s="16"/>
      <c r="P54" s="16"/>
    </row>
    <row r="55" ht="15.75" customHeight="1">
      <c r="A55" s="16"/>
      <c r="B55" s="16"/>
      <c r="C55" s="16"/>
      <c r="D55" s="16"/>
      <c r="E55" s="16"/>
      <c r="F55" s="16"/>
      <c r="G55" s="16"/>
      <c r="H55" s="16"/>
      <c r="I55" s="16"/>
      <c r="J55" s="16"/>
      <c r="K55" s="16"/>
      <c r="L55" s="16"/>
      <c r="M55" s="16"/>
      <c r="N55" s="16"/>
      <c r="O55" s="16"/>
      <c r="P55" s="16"/>
    </row>
    <row r="56" ht="15.75" customHeight="1">
      <c r="A56" s="16"/>
      <c r="B56" s="16"/>
      <c r="C56" s="16"/>
      <c r="D56" s="16"/>
      <c r="E56" s="16"/>
      <c r="F56" s="16"/>
      <c r="G56" s="16"/>
      <c r="H56" s="16"/>
      <c r="I56" s="16"/>
      <c r="J56" s="16"/>
      <c r="K56" s="16"/>
      <c r="L56" s="16"/>
      <c r="M56" s="16"/>
      <c r="N56" s="16"/>
      <c r="O56" s="16"/>
      <c r="P56" s="16"/>
    </row>
    <row r="57" ht="15.75" customHeight="1">
      <c r="A57" s="16"/>
      <c r="B57" s="16"/>
      <c r="C57" s="16"/>
      <c r="D57" s="16"/>
      <c r="E57" s="16"/>
      <c r="F57" s="16"/>
      <c r="G57" s="16"/>
      <c r="H57" s="16"/>
      <c r="I57" s="16"/>
      <c r="J57" s="16"/>
      <c r="K57" s="16"/>
      <c r="L57" s="16"/>
      <c r="M57" s="16"/>
      <c r="N57" s="16"/>
      <c r="O57" s="16"/>
      <c r="P57" s="16"/>
    </row>
    <row r="58" ht="15.75" customHeight="1">
      <c r="A58" s="16"/>
      <c r="B58" s="16"/>
      <c r="C58" s="16"/>
      <c r="D58" s="16"/>
      <c r="E58" s="16"/>
      <c r="F58" s="16"/>
      <c r="G58" s="16"/>
      <c r="H58" s="16"/>
      <c r="I58" s="16"/>
      <c r="J58" s="16"/>
      <c r="K58" s="16"/>
      <c r="L58" s="16"/>
      <c r="M58" s="16"/>
      <c r="N58" s="16"/>
      <c r="O58" s="16"/>
      <c r="P58" s="16"/>
    </row>
    <row r="59" ht="15.75" customHeight="1">
      <c r="A59" s="16"/>
      <c r="B59" s="16"/>
      <c r="C59" s="16"/>
      <c r="D59" s="16"/>
      <c r="E59" s="16"/>
      <c r="F59" s="16"/>
      <c r="G59" s="16"/>
      <c r="H59" s="16"/>
      <c r="I59" s="16"/>
      <c r="J59" s="16"/>
      <c r="K59" s="16"/>
      <c r="L59" s="16"/>
      <c r="M59" s="16"/>
      <c r="N59" s="16"/>
      <c r="O59" s="16"/>
      <c r="P59" s="16"/>
    </row>
    <row r="60" ht="15.75" customHeight="1">
      <c r="A60" s="16"/>
      <c r="B60" s="16"/>
      <c r="C60" s="16"/>
      <c r="D60" s="16"/>
      <c r="E60" s="16"/>
      <c r="F60" s="16"/>
      <c r="G60" s="16"/>
      <c r="H60" s="16"/>
      <c r="I60" s="16"/>
      <c r="J60" s="16"/>
      <c r="K60" s="16"/>
      <c r="L60" s="16"/>
      <c r="M60" s="16"/>
      <c r="N60" s="16"/>
      <c r="O60" s="16"/>
      <c r="P60" s="16"/>
    </row>
    <row r="61" ht="15.75" customHeight="1">
      <c r="A61" s="16"/>
      <c r="B61" s="16"/>
      <c r="C61" s="16"/>
      <c r="D61" s="16"/>
      <c r="E61" s="16"/>
      <c r="F61" s="16"/>
      <c r="G61" s="16"/>
      <c r="H61" s="16"/>
      <c r="I61" s="16"/>
      <c r="J61" s="16"/>
      <c r="K61" s="16"/>
      <c r="L61" s="16"/>
      <c r="M61" s="16"/>
      <c r="N61" s="16"/>
      <c r="O61" s="16"/>
      <c r="P61" s="16"/>
    </row>
    <row r="62" ht="15.75" customHeight="1">
      <c r="A62" s="16"/>
      <c r="B62" s="16"/>
      <c r="C62" s="16"/>
      <c r="D62" s="16"/>
      <c r="E62" s="16"/>
      <c r="F62" s="16"/>
      <c r="G62" s="16"/>
      <c r="H62" s="16"/>
      <c r="I62" s="16"/>
      <c r="J62" s="16"/>
      <c r="K62" s="16"/>
      <c r="L62" s="16"/>
      <c r="M62" s="16"/>
      <c r="N62" s="16"/>
      <c r="O62" s="16"/>
      <c r="P62" s="16"/>
    </row>
    <row r="63" ht="15.75" customHeight="1">
      <c r="A63" s="16"/>
      <c r="B63" s="16"/>
      <c r="C63" s="16"/>
      <c r="D63" s="16"/>
      <c r="E63" s="16"/>
      <c r="F63" s="16"/>
      <c r="G63" s="16"/>
      <c r="H63" s="16"/>
      <c r="I63" s="16"/>
      <c r="J63" s="16"/>
      <c r="K63" s="16"/>
      <c r="L63" s="16"/>
      <c r="M63" s="16"/>
      <c r="N63" s="16"/>
      <c r="O63" s="16"/>
      <c r="P63" s="16"/>
    </row>
    <row r="64" ht="15.75" customHeight="1">
      <c r="A64" s="16"/>
      <c r="B64" s="16"/>
      <c r="C64" s="16"/>
      <c r="D64" s="16"/>
      <c r="E64" s="16"/>
      <c r="F64" s="16"/>
      <c r="G64" s="16"/>
      <c r="H64" s="16"/>
      <c r="I64" s="16"/>
      <c r="J64" s="16"/>
      <c r="K64" s="16"/>
      <c r="L64" s="16"/>
      <c r="M64" s="16"/>
      <c r="N64" s="16"/>
      <c r="O64" s="16"/>
      <c r="P64" s="16"/>
    </row>
    <row r="65" ht="15.75" customHeight="1">
      <c r="A65" s="16"/>
      <c r="B65" s="16"/>
      <c r="C65" s="16"/>
      <c r="D65" s="16"/>
      <c r="E65" s="16"/>
      <c r="F65" s="16"/>
      <c r="G65" s="16"/>
      <c r="H65" s="16"/>
      <c r="I65" s="16"/>
      <c r="J65" s="16"/>
      <c r="K65" s="16"/>
      <c r="L65" s="16"/>
      <c r="M65" s="16"/>
      <c r="N65" s="16"/>
      <c r="O65" s="16"/>
      <c r="P65" s="16"/>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autoFilter ref="$A$3:$P$65"/>
  <conditionalFormatting sqref="B4:P65">
    <cfRule type="expression" dxfId="0" priority="1">
      <formula>AND($A4&lt;&gt;"",B4="")</formula>
    </cfRule>
  </conditionalFormatting>
  <dataValidations>
    <dataValidation type="list" allowBlank="1" sqref="B4:B65">
      <formula1>"E1,E2,E3"</formula1>
    </dataValidation>
  </dataValidations>
  <hyperlinks>
    <hyperlink r:id="rId1" ref="N4"/>
    <hyperlink r:id="rId2" ref="N5"/>
    <hyperlink r:id="rId3" ref="N6"/>
    <hyperlink r:id="rId4" ref="N8"/>
    <hyperlink r:id="rId5" ref="N9"/>
    <hyperlink r:id="rId6" ref="N10"/>
    <hyperlink r:id="rId7" ref="N12"/>
    <hyperlink r:id="rId8" ref="N13"/>
    <hyperlink r:id="rId9" ref="N14"/>
  </hyperlinks>
  <printOptions/>
  <pageMargins bottom="1.0" footer="0.0" header="0.0" left="0.75" right="0.75" top="1.0"/>
  <pageSetup paperSize="9" orientation="portrait"/>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1.0"/>
    <col customWidth="1" min="2" max="3" width="12.0"/>
    <col customWidth="1" min="4" max="4" width="20.0"/>
    <col customWidth="1" min="5" max="5" width="18.0"/>
    <col customWidth="1" min="6" max="6" width="20.0"/>
    <col customWidth="1" min="7" max="7" width="24.0"/>
    <col customWidth="1" min="8" max="9" width="16.0"/>
    <col customWidth="1" min="10" max="10" width="30.0"/>
    <col customWidth="1" min="11" max="23" width="8.71"/>
  </cols>
  <sheetData>
    <row r="1">
      <c r="A1" s="1" t="s">
        <v>522</v>
      </c>
    </row>
    <row r="2">
      <c r="A2" s="2" t="s">
        <v>523</v>
      </c>
    </row>
    <row r="3" ht="31.5" customHeight="1">
      <c r="A3" s="12" t="s">
        <v>525</v>
      </c>
      <c r="B3" s="12" t="s">
        <v>32</v>
      </c>
      <c r="C3" s="12" t="s">
        <v>449</v>
      </c>
      <c r="D3" s="12" t="s">
        <v>526</v>
      </c>
      <c r="E3" s="12" t="s">
        <v>527</v>
      </c>
      <c r="F3" s="12" t="s">
        <v>528</v>
      </c>
      <c r="G3" s="12" t="s">
        <v>529</v>
      </c>
      <c r="H3" s="12" t="s">
        <v>530</v>
      </c>
      <c r="I3" s="12" t="s">
        <v>531</v>
      </c>
      <c r="J3" s="12" t="s">
        <v>23</v>
      </c>
    </row>
    <row r="4">
      <c r="A4" s="14" t="s">
        <v>532</v>
      </c>
      <c r="B4" s="14" t="s">
        <v>25</v>
      </c>
      <c r="C4" s="14" t="s">
        <v>458</v>
      </c>
      <c r="D4" s="14" t="s">
        <v>534</v>
      </c>
      <c r="E4" s="14" t="s">
        <v>161</v>
      </c>
      <c r="F4" s="14" t="s">
        <v>218</v>
      </c>
      <c r="G4" s="14" t="s">
        <v>235</v>
      </c>
      <c r="H4" s="14" t="s">
        <v>268</v>
      </c>
      <c r="I4" s="14" t="s">
        <v>101</v>
      </c>
      <c r="J4" s="14" t="s">
        <v>535</v>
      </c>
    </row>
    <row r="5">
      <c r="A5" s="14" t="s">
        <v>532</v>
      </c>
      <c r="B5" s="14" t="s">
        <v>25</v>
      </c>
      <c r="C5" s="14" t="s">
        <v>458</v>
      </c>
      <c r="D5" s="14" t="s">
        <v>536</v>
      </c>
      <c r="E5" s="14" t="s">
        <v>118</v>
      </c>
      <c r="F5" s="14" t="s">
        <v>218</v>
      </c>
      <c r="G5" s="14" t="s">
        <v>172</v>
      </c>
      <c r="H5" s="14" t="s">
        <v>268</v>
      </c>
      <c r="I5" s="14" t="s">
        <v>101</v>
      </c>
      <c r="J5" s="14" t="s">
        <v>537</v>
      </c>
    </row>
    <row r="6">
      <c r="A6" s="14" t="s">
        <v>532</v>
      </c>
      <c r="B6" s="14" t="s">
        <v>25</v>
      </c>
      <c r="C6" s="14" t="s">
        <v>458</v>
      </c>
      <c r="D6" s="14" t="s">
        <v>540</v>
      </c>
      <c r="E6" s="14" t="s">
        <v>118</v>
      </c>
      <c r="F6" s="14" t="s">
        <v>218</v>
      </c>
      <c r="G6" s="14" t="s">
        <v>191</v>
      </c>
      <c r="H6" s="14" t="s">
        <v>268</v>
      </c>
      <c r="I6" s="14" t="s">
        <v>101</v>
      </c>
      <c r="J6" s="14" t="s">
        <v>543</v>
      </c>
    </row>
    <row r="7">
      <c r="A7" s="14" t="s">
        <v>532</v>
      </c>
      <c r="B7" s="14" t="s">
        <v>25</v>
      </c>
      <c r="C7" s="14" t="s">
        <v>458</v>
      </c>
      <c r="D7" s="14" t="s">
        <v>545</v>
      </c>
      <c r="E7" s="14" t="s">
        <v>75</v>
      </c>
      <c r="F7" s="14" t="s">
        <v>218</v>
      </c>
      <c r="G7" s="14" t="s">
        <v>90</v>
      </c>
      <c r="H7" s="14" t="s">
        <v>268</v>
      </c>
      <c r="I7" s="14" t="s">
        <v>101</v>
      </c>
      <c r="J7" s="14" t="s">
        <v>546</v>
      </c>
    </row>
    <row r="8">
      <c r="A8" s="14" t="s">
        <v>532</v>
      </c>
      <c r="B8" s="14" t="s">
        <v>25</v>
      </c>
      <c r="C8" s="14" t="s">
        <v>458</v>
      </c>
      <c r="D8" s="14" t="s">
        <v>547</v>
      </c>
      <c r="E8" s="14" t="s">
        <v>100</v>
      </c>
      <c r="F8" s="14" t="s">
        <v>218</v>
      </c>
      <c r="G8" s="14" t="s">
        <v>143</v>
      </c>
      <c r="H8" s="14" t="s">
        <v>268</v>
      </c>
      <c r="I8" s="14" t="s">
        <v>101</v>
      </c>
      <c r="J8" s="14" t="s">
        <v>548</v>
      </c>
    </row>
    <row r="9">
      <c r="A9" s="14" t="s">
        <v>532</v>
      </c>
      <c r="B9" s="14" t="s">
        <v>25</v>
      </c>
      <c r="C9" s="14" t="s">
        <v>458</v>
      </c>
      <c r="D9" s="14" t="s">
        <v>549</v>
      </c>
      <c r="E9" s="14" t="s">
        <v>268</v>
      </c>
      <c r="F9" s="14" t="s">
        <v>101</v>
      </c>
      <c r="G9" s="14" t="s">
        <v>268</v>
      </c>
      <c r="H9" s="14" t="s">
        <v>268</v>
      </c>
      <c r="I9" s="14" t="s">
        <v>101</v>
      </c>
      <c r="J9" s="14" t="s">
        <v>550</v>
      </c>
    </row>
    <row r="10">
      <c r="A10" s="59"/>
      <c r="B10" s="34"/>
      <c r="C10" s="34"/>
      <c r="D10" s="34"/>
      <c r="E10" s="34"/>
      <c r="F10" s="34"/>
      <c r="G10" s="34"/>
      <c r="H10" s="34"/>
      <c r="I10" s="34"/>
      <c r="J10" s="34"/>
    </row>
    <row r="11">
      <c r="A11" s="14" t="s">
        <v>532</v>
      </c>
      <c r="B11" s="57" t="s">
        <v>25</v>
      </c>
      <c r="C11" s="14" t="s">
        <v>462</v>
      </c>
      <c r="D11" s="14" t="s">
        <v>553</v>
      </c>
      <c r="E11" s="14" t="s">
        <v>161</v>
      </c>
      <c r="F11" s="14" t="s">
        <v>218</v>
      </c>
      <c r="G11" s="14" t="s">
        <v>235</v>
      </c>
      <c r="H11" s="14" t="s">
        <v>268</v>
      </c>
      <c r="I11" s="14" t="s">
        <v>101</v>
      </c>
      <c r="J11" s="14" t="s">
        <v>554</v>
      </c>
    </row>
    <row r="12">
      <c r="A12" s="14" t="s">
        <v>532</v>
      </c>
      <c r="B12" s="14" t="s">
        <v>25</v>
      </c>
      <c r="C12" s="14" t="s">
        <v>462</v>
      </c>
      <c r="D12" s="14" t="s">
        <v>555</v>
      </c>
      <c r="E12" s="14" t="s">
        <v>118</v>
      </c>
      <c r="F12" s="14" t="s">
        <v>218</v>
      </c>
      <c r="G12" s="14" t="s">
        <v>172</v>
      </c>
      <c r="H12" s="14" t="s">
        <v>268</v>
      </c>
      <c r="I12" s="14" t="s">
        <v>101</v>
      </c>
      <c r="J12" s="14" t="s">
        <v>556</v>
      </c>
    </row>
    <row r="13">
      <c r="A13" s="14" t="s">
        <v>532</v>
      </c>
      <c r="B13" s="14" t="s">
        <v>25</v>
      </c>
      <c r="C13" s="14" t="s">
        <v>462</v>
      </c>
      <c r="D13" s="14" t="s">
        <v>557</v>
      </c>
      <c r="E13" s="14" t="s">
        <v>118</v>
      </c>
      <c r="F13" s="14" t="s">
        <v>218</v>
      </c>
      <c r="G13" s="14" t="s">
        <v>191</v>
      </c>
      <c r="H13" s="14" t="s">
        <v>268</v>
      </c>
      <c r="I13" s="14" t="s">
        <v>101</v>
      </c>
      <c r="J13" s="14" t="s">
        <v>558</v>
      </c>
    </row>
    <row r="14">
      <c r="A14" s="14" t="s">
        <v>532</v>
      </c>
      <c r="B14" s="14" t="s">
        <v>25</v>
      </c>
      <c r="C14" s="14" t="s">
        <v>462</v>
      </c>
      <c r="D14" s="14" t="s">
        <v>559</v>
      </c>
      <c r="E14" s="14" t="s">
        <v>75</v>
      </c>
      <c r="F14" s="14" t="s">
        <v>218</v>
      </c>
      <c r="G14" s="14" t="s">
        <v>90</v>
      </c>
      <c r="H14" s="14" t="s">
        <v>268</v>
      </c>
      <c r="I14" s="14" t="s">
        <v>101</v>
      </c>
      <c r="J14" s="14" t="s">
        <v>560</v>
      </c>
    </row>
    <row r="15">
      <c r="A15" s="14" t="s">
        <v>532</v>
      </c>
      <c r="B15" s="14" t="s">
        <v>25</v>
      </c>
      <c r="C15" s="14" t="s">
        <v>462</v>
      </c>
      <c r="D15" s="14" t="s">
        <v>562</v>
      </c>
      <c r="E15" s="14" t="s">
        <v>100</v>
      </c>
      <c r="F15" s="14" t="s">
        <v>218</v>
      </c>
      <c r="G15" s="14" t="s">
        <v>143</v>
      </c>
      <c r="H15" s="14" t="s">
        <v>268</v>
      </c>
      <c r="I15" s="14" t="s">
        <v>101</v>
      </c>
      <c r="J15" s="14" t="s">
        <v>563</v>
      </c>
    </row>
    <row r="16">
      <c r="A16" s="14" t="s">
        <v>532</v>
      </c>
      <c r="B16" s="14" t="s">
        <v>25</v>
      </c>
      <c r="C16" s="14" t="s">
        <v>462</v>
      </c>
      <c r="D16" s="14" t="s">
        <v>564</v>
      </c>
      <c r="E16" s="14" t="s">
        <v>565</v>
      </c>
      <c r="F16" s="14" t="s">
        <v>218</v>
      </c>
      <c r="G16" s="14" t="s">
        <v>566</v>
      </c>
      <c r="H16" s="14" t="s">
        <v>268</v>
      </c>
      <c r="I16" s="14" t="s">
        <v>101</v>
      </c>
      <c r="J16" s="14" t="s">
        <v>567</v>
      </c>
    </row>
    <row r="17">
      <c r="A17" s="34"/>
      <c r="B17" s="34"/>
      <c r="C17" s="34"/>
      <c r="D17" s="34"/>
      <c r="E17" s="34"/>
      <c r="F17" s="34"/>
      <c r="G17" s="34"/>
      <c r="H17" s="34"/>
      <c r="I17" s="34"/>
      <c r="J17" s="34"/>
    </row>
    <row r="18">
      <c r="A18" s="14" t="s">
        <v>532</v>
      </c>
      <c r="B18" s="14" t="s">
        <v>25</v>
      </c>
      <c r="C18" s="14" t="s">
        <v>464</v>
      </c>
      <c r="D18" s="14" t="s">
        <v>568</v>
      </c>
      <c r="E18" s="14" t="s">
        <v>161</v>
      </c>
      <c r="F18" s="14" t="s">
        <v>218</v>
      </c>
      <c r="G18" s="14" t="s">
        <v>235</v>
      </c>
      <c r="H18" s="14" t="s">
        <v>268</v>
      </c>
      <c r="I18" s="14" t="s">
        <v>101</v>
      </c>
      <c r="J18" s="14" t="s">
        <v>569</v>
      </c>
    </row>
    <row r="19">
      <c r="A19" s="14" t="s">
        <v>532</v>
      </c>
      <c r="B19" s="14" t="s">
        <v>25</v>
      </c>
      <c r="C19" s="14" t="s">
        <v>464</v>
      </c>
      <c r="D19" s="14" t="s">
        <v>570</v>
      </c>
      <c r="E19" s="14" t="s">
        <v>118</v>
      </c>
      <c r="F19" s="14" t="s">
        <v>218</v>
      </c>
      <c r="G19" s="14" t="s">
        <v>172</v>
      </c>
      <c r="H19" s="14" t="s">
        <v>268</v>
      </c>
      <c r="I19" s="14" t="s">
        <v>101</v>
      </c>
      <c r="J19" s="14" t="s">
        <v>571</v>
      </c>
    </row>
    <row r="20">
      <c r="A20" s="14" t="s">
        <v>532</v>
      </c>
      <c r="B20" s="14" t="s">
        <v>25</v>
      </c>
      <c r="C20" s="14" t="s">
        <v>464</v>
      </c>
      <c r="D20" s="14" t="s">
        <v>572</v>
      </c>
      <c r="E20" s="14" t="s">
        <v>118</v>
      </c>
      <c r="F20" s="14" t="s">
        <v>218</v>
      </c>
      <c r="G20" s="14" t="s">
        <v>191</v>
      </c>
      <c r="H20" s="14" t="s">
        <v>268</v>
      </c>
      <c r="I20" s="14" t="s">
        <v>101</v>
      </c>
      <c r="J20" s="14" t="s">
        <v>573</v>
      </c>
    </row>
    <row r="21" ht="15.75" customHeight="1">
      <c r="A21" s="14" t="s">
        <v>532</v>
      </c>
      <c r="B21" s="14" t="s">
        <v>25</v>
      </c>
      <c r="C21" s="14" t="s">
        <v>464</v>
      </c>
      <c r="D21" s="14" t="s">
        <v>574</v>
      </c>
      <c r="E21" s="14" t="s">
        <v>118</v>
      </c>
      <c r="F21" s="14" t="s">
        <v>101</v>
      </c>
      <c r="G21" s="14" t="s">
        <v>268</v>
      </c>
      <c r="H21" s="14" t="s">
        <v>268</v>
      </c>
      <c r="I21" s="14" t="s">
        <v>101</v>
      </c>
      <c r="J21" s="14" t="s">
        <v>575</v>
      </c>
    </row>
    <row r="22" ht="15.75" customHeight="1">
      <c r="A22" s="14" t="s">
        <v>532</v>
      </c>
      <c r="B22" s="14" t="s">
        <v>25</v>
      </c>
      <c r="C22" s="14" t="s">
        <v>464</v>
      </c>
      <c r="D22" s="14" t="s">
        <v>576</v>
      </c>
      <c r="E22" s="14" t="s">
        <v>75</v>
      </c>
      <c r="F22" s="14" t="s">
        <v>218</v>
      </c>
      <c r="G22" s="14" t="s">
        <v>90</v>
      </c>
      <c r="H22" s="14" t="s">
        <v>268</v>
      </c>
      <c r="I22" s="14" t="s">
        <v>101</v>
      </c>
      <c r="J22" s="14" t="s">
        <v>577</v>
      </c>
    </row>
    <row r="23" ht="15.75" customHeight="1">
      <c r="A23" s="14" t="s">
        <v>532</v>
      </c>
      <c r="B23" s="14" t="s">
        <v>25</v>
      </c>
      <c r="C23" s="14" t="s">
        <v>464</v>
      </c>
      <c r="D23" s="14" t="s">
        <v>578</v>
      </c>
      <c r="E23" s="14" t="s">
        <v>100</v>
      </c>
      <c r="F23" s="14" t="s">
        <v>218</v>
      </c>
      <c r="G23" s="14" t="s">
        <v>143</v>
      </c>
      <c r="H23" s="14" t="s">
        <v>268</v>
      </c>
      <c r="I23" s="14" t="s">
        <v>101</v>
      </c>
      <c r="J23" s="14" t="s">
        <v>579</v>
      </c>
    </row>
    <row r="24" ht="15.75" customHeight="1">
      <c r="A24" s="14" t="s">
        <v>532</v>
      </c>
      <c r="B24" s="14" t="s">
        <v>25</v>
      </c>
      <c r="C24" s="14" t="s">
        <v>464</v>
      </c>
      <c r="D24" s="14" t="s">
        <v>580</v>
      </c>
      <c r="E24" s="14" t="s">
        <v>565</v>
      </c>
      <c r="F24" s="14" t="s">
        <v>218</v>
      </c>
      <c r="G24" s="14" t="s">
        <v>566</v>
      </c>
      <c r="H24" s="14" t="s">
        <v>268</v>
      </c>
      <c r="I24" s="14" t="s">
        <v>101</v>
      </c>
      <c r="J24" s="14" t="s">
        <v>581</v>
      </c>
    </row>
    <row r="25" ht="15.75" customHeight="1">
      <c r="A25" s="34"/>
      <c r="B25" s="34"/>
      <c r="C25" s="34"/>
      <c r="D25" s="34"/>
      <c r="E25" s="34"/>
      <c r="F25" s="34"/>
      <c r="G25" s="34"/>
      <c r="H25" s="34"/>
      <c r="I25" s="34"/>
      <c r="J25" s="34"/>
    </row>
    <row r="26" ht="15.75" customHeight="1">
      <c r="A26" s="14" t="s">
        <v>532</v>
      </c>
      <c r="B26" s="14" t="s">
        <v>69</v>
      </c>
      <c r="C26" s="14" t="s">
        <v>458</v>
      </c>
      <c r="D26" s="14" t="s">
        <v>582</v>
      </c>
      <c r="E26" s="14" t="s">
        <v>195</v>
      </c>
      <c r="F26" s="14" t="s">
        <v>218</v>
      </c>
      <c r="G26" s="14" t="s">
        <v>289</v>
      </c>
      <c r="H26" s="14" t="s">
        <v>268</v>
      </c>
      <c r="I26" s="14" t="s">
        <v>101</v>
      </c>
      <c r="J26" s="14" t="s">
        <v>583</v>
      </c>
    </row>
    <row r="27" ht="15.75" customHeight="1">
      <c r="A27" s="14" t="s">
        <v>532</v>
      </c>
      <c r="B27" s="14" t="s">
        <v>69</v>
      </c>
      <c r="C27" s="14" t="s">
        <v>458</v>
      </c>
      <c r="D27" s="14" t="s">
        <v>584</v>
      </c>
      <c r="E27" s="14" t="s">
        <v>195</v>
      </c>
      <c r="F27" s="14" t="s">
        <v>218</v>
      </c>
      <c r="G27" s="14" t="s">
        <v>289</v>
      </c>
      <c r="H27" s="14" t="s">
        <v>268</v>
      </c>
      <c r="I27" s="14" t="s">
        <v>101</v>
      </c>
      <c r="J27" s="14" t="s">
        <v>585</v>
      </c>
    </row>
    <row r="28" ht="15.75" customHeight="1">
      <c r="A28" s="14" t="s">
        <v>532</v>
      </c>
      <c r="B28" s="14" t="s">
        <v>69</v>
      </c>
      <c r="C28" s="14" t="s">
        <v>458</v>
      </c>
      <c r="D28" s="14" t="s">
        <v>586</v>
      </c>
      <c r="E28" s="14" t="s">
        <v>217</v>
      </c>
      <c r="F28" s="14" t="s">
        <v>218</v>
      </c>
      <c r="G28" s="14" t="s">
        <v>326</v>
      </c>
      <c r="H28" s="14" t="s">
        <v>268</v>
      </c>
      <c r="I28" s="14" t="s">
        <v>101</v>
      </c>
      <c r="J28" s="14" t="s">
        <v>587</v>
      </c>
    </row>
    <row r="29" ht="15.75" customHeight="1">
      <c r="A29" s="14" t="s">
        <v>532</v>
      </c>
      <c r="B29" s="14" t="s">
        <v>69</v>
      </c>
      <c r="C29" s="14" t="s">
        <v>458</v>
      </c>
      <c r="D29" s="14" t="s">
        <v>588</v>
      </c>
      <c r="E29" s="14" t="s">
        <v>228</v>
      </c>
      <c r="F29" s="14" t="s">
        <v>218</v>
      </c>
      <c r="G29" s="14" t="s">
        <v>341</v>
      </c>
      <c r="H29" s="14" t="s">
        <v>268</v>
      </c>
      <c r="I29" s="14" t="s">
        <v>101</v>
      </c>
      <c r="J29" s="14" t="s">
        <v>589</v>
      </c>
    </row>
    <row r="30" ht="15.75" customHeight="1">
      <c r="A30" s="14" t="s">
        <v>532</v>
      </c>
      <c r="B30" s="14" t="s">
        <v>69</v>
      </c>
      <c r="C30" s="14" t="s">
        <v>458</v>
      </c>
      <c r="D30" s="14" t="s">
        <v>590</v>
      </c>
      <c r="E30" s="14" t="s">
        <v>240</v>
      </c>
      <c r="F30" s="14" t="s">
        <v>218</v>
      </c>
      <c r="G30" s="14" t="s">
        <v>349</v>
      </c>
      <c r="H30" s="14" t="s">
        <v>268</v>
      </c>
      <c r="I30" s="14" t="s">
        <v>101</v>
      </c>
      <c r="J30" s="14" t="s">
        <v>591</v>
      </c>
    </row>
    <row r="31" ht="15.75" customHeight="1">
      <c r="A31" s="14" t="s">
        <v>532</v>
      </c>
      <c r="B31" s="14" t="s">
        <v>69</v>
      </c>
      <c r="C31" s="14" t="s">
        <v>458</v>
      </c>
      <c r="D31" s="14" t="s">
        <v>592</v>
      </c>
      <c r="E31" s="14" t="s">
        <v>593</v>
      </c>
      <c r="F31" s="14" t="s">
        <v>101</v>
      </c>
      <c r="G31" s="14" t="s">
        <v>268</v>
      </c>
      <c r="H31" s="14" t="s">
        <v>268</v>
      </c>
      <c r="I31" s="14" t="s">
        <v>218</v>
      </c>
      <c r="J31" s="14" t="s">
        <v>594</v>
      </c>
    </row>
    <row r="32" ht="15.75" customHeight="1">
      <c r="A32" s="14" t="s">
        <v>532</v>
      </c>
      <c r="B32" s="14" t="s">
        <v>69</v>
      </c>
      <c r="C32" s="14" t="s">
        <v>458</v>
      </c>
      <c r="D32" s="14" t="s">
        <v>595</v>
      </c>
      <c r="E32" s="14" t="s">
        <v>593</v>
      </c>
      <c r="F32" s="14" t="s">
        <v>101</v>
      </c>
      <c r="G32" s="14" t="s">
        <v>268</v>
      </c>
      <c r="H32" s="14" t="s">
        <v>268</v>
      </c>
      <c r="I32" s="14" t="s">
        <v>218</v>
      </c>
      <c r="J32" s="14" t="s">
        <v>596</v>
      </c>
    </row>
    <row r="33" ht="15.75" customHeight="1">
      <c r="A33" s="14" t="s">
        <v>532</v>
      </c>
      <c r="B33" s="14" t="s">
        <v>69</v>
      </c>
      <c r="C33" s="14" t="s">
        <v>458</v>
      </c>
      <c r="D33" s="14" t="s">
        <v>597</v>
      </c>
      <c r="E33" s="14" t="s">
        <v>593</v>
      </c>
      <c r="F33" s="14" t="s">
        <v>101</v>
      </c>
      <c r="G33" s="14" t="s">
        <v>268</v>
      </c>
      <c r="H33" s="14" t="s">
        <v>268</v>
      </c>
      <c r="I33" s="14" t="s">
        <v>218</v>
      </c>
      <c r="J33" s="14" t="s">
        <v>598</v>
      </c>
    </row>
    <row r="34" ht="15.75" customHeight="1">
      <c r="A34" s="14" t="s">
        <v>532</v>
      </c>
      <c r="B34" s="14" t="s">
        <v>69</v>
      </c>
      <c r="C34" s="14" t="s">
        <v>458</v>
      </c>
      <c r="D34" s="14" t="s">
        <v>599</v>
      </c>
      <c r="E34" s="14" t="s">
        <v>593</v>
      </c>
      <c r="F34" s="14" t="s">
        <v>101</v>
      </c>
      <c r="G34" s="14" t="s">
        <v>268</v>
      </c>
      <c r="H34" s="14" t="s">
        <v>268</v>
      </c>
      <c r="I34" s="14" t="s">
        <v>218</v>
      </c>
      <c r="J34" s="14" t="s">
        <v>600</v>
      </c>
    </row>
    <row r="35" ht="15.75" customHeight="1">
      <c r="A35" s="14" t="s">
        <v>532</v>
      </c>
      <c r="B35" s="14" t="s">
        <v>69</v>
      </c>
      <c r="C35" s="14" t="s">
        <v>458</v>
      </c>
      <c r="D35" s="14" t="s">
        <v>601</v>
      </c>
      <c r="E35" s="14" t="s">
        <v>217</v>
      </c>
      <c r="F35" s="14" t="s">
        <v>218</v>
      </c>
      <c r="G35" s="14" t="s">
        <v>326</v>
      </c>
      <c r="H35" s="14" t="s">
        <v>268</v>
      </c>
      <c r="I35" s="14" t="s">
        <v>101</v>
      </c>
      <c r="J35" s="14" t="s">
        <v>602</v>
      </c>
    </row>
    <row r="36" ht="15.75" customHeight="1">
      <c r="A36" s="34"/>
      <c r="B36" s="34"/>
      <c r="C36" s="34"/>
      <c r="D36" s="34"/>
      <c r="E36" s="34"/>
      <c r="F36" s="34"/>
      <c r="G36" s="34"/>
      <c r="H36" s="34"/>
      <c r="I36" s="34"/>
      <c r="J36" s="34"/>
    </row>
    <row r="37" ht="15.75" customHeight="1">
      <c r="A37" s="14" t="s">
        <v>532</v>
      </c>
      <c r="B37" s="14" t="s">
        <v>69</v>
      </c>
      <c r="C37" s="14" t="s">
        <v>462</v>
      </c>
      <c r="D37" s="14" t="s">
        <v>603</v>
      </c>
      <c r="E37" s="14" t="s">
        <v>195</v>
      </c>
      <c r="F37" s="14" t="s">
        <v>218</v>
      </c>
      <c r="G37" s="14" t="s">
        <v>289</v>
      </c>
      <c r="H37" s="14" t="s">
        <v>268</v>
      </c>
      <c r="I37" s="14" t="s">
        <v>101</v>
      </c>
      <c r="J37" s="14" t="s">
        <v>583</v>
      </c>
    </row>
    <row r="38" ht="15.75" customHeight="1">
      <c r="A38" s="14" t="s">
        <v>532</v>
      </c>
      <c r="B38" s="14" t="s">
        <v>69</v>
      </c>
      <c r="C38" s="14" t="s">
        <v>462</v>
      </c>
      <c r="D38" s="14" t="s">
        <v>604</v>
      </c>
      <c r="E38" s="14" t="s">
        <v>195</v>
      </c>
      <c r="F38" s="14" t="s">
        <v>218</v>
      </c>
      <c r="G38" s="14" t="s">
        <v>289</v>
      </c>
      <c r="H38" s="14" t="s">
        <v>268</v>
      </c>
      <c r="I38" s="14" t="s">
        <v>101</v>
      </c>
      <c r="J38" s="14" t="s">
        <v>605</v>
      </c>
    </row>
    <row r="39" ht="15.75" customHeight="1">
      <c r="A39" s="14" t="s">
        <v>532</v>
      </c>
      <c r="B39" s="14" t="s">
        <v>69</v>
      </c>
      <c r="C39" s="14" t="s">
        <v>462</v>
      </c>
      <c r="D39" s="14" t="s">
        <v>606</v>
      </c>
      <c r="E39" s="14" t="s">
        <v>217</v>
      </c>
      <c r="F39" s="14" t="s">
        <v>218</v>
      </c>
      <c r="G39" s="14" t="s">
        <v>326</v>
      </c>
      <c r="H39" s="14" t="s">
        <v>268</v>
      </c>
      <c r="I39" s="14" t="s">
        <v>101</v>
      </c>
      <c r="J39" s="14" t="s">
        <v>607</v>
      </c>
    </row>
    <row r="40" ht="15.75" customHeight="1">
      <c r="A40" s="14" t="s">
        <v>532</v>
      </c>
      <c r="B40" s="14" t="s">
        <v>69</v>
      </c>
      <c r="C40" s="14" t="s">
        <v>462</v>
      </c>
      <c r="D40" s="14" t="s">
        <v>608</v>
      </c>
      <c r="E40" s="14" t="s">
        <v>593</v>
      </c>
      <c r="F40" s="14" t="s">
        <v>101</v>
      </c>
      <c r="G40" s="14" t="s">
        <v>268</v>
      </c>
      <c r="H40" s="14" t="s">
        <v>268</v>
      </c>
      <c r="I40" s="14" t="s">
        <v>218</v>
      </c>
      <c r="J40" s="14" t="s">
        <v>609</v>
      </c>
    </row>
    <row r="41" ht="15.75" customHeight="1">
      <c r="A41" s="14" t="s">
        <v>532</v>
      </c>
      <c r="B41" s="14" t="s">
        <v>69</v>
      </c>
      <c r="C41" s="14" t="s">
        <v>462</v>
      </c>
      <c r="D41" s="14" t="s">
        <v>610</v>
      </c>
      <c r="E41" s="14" t="s">
        <v>228</v>
      </c>
      <c r="F41" s="14" t="s">
        <v>218</v>
      </c>
      <c r="G41" s="14" t="s">
        <v>341</v>
      </c>
      <c r="H41" s="14" t="s">
        <v>268</v>
      </c>
      <c r="I41" s="14" t="s">
        <v>101</v>
      </c>
      <c r="J41" s="14" t="s">
        <v>611</v>
      </c>
    </row>
    <row r="42" ht="15.75" customHeight="1">
      <c r="A42" s="14" t="s">
        <v>532</v>
      </c>
      <c r="B42" s="14" t="s">
        <v>69</v>
      </c>
      <c r="C42" s="14" t="s">
        <v>462</v>
      </c>
      <c r="D42" s="14" t="s">
        <v>612</v>
      </c>
      <c r="E42" s="14" t="s">
        <v>240</v>
      </c>
      <c r="F42" s="14" t="s">
        <v>218</v>
      </c>
      <c r="G42" s="14" t="s">
        <v>349</v>
      </c>
      <c r="H42" s="14" t="s">
        <v>268</v>
      </c>
      <c r="I42" s="14" t="s">
        <v>101</v>
      </c>
      <c r="J42" s="14" t="s">
        <v>591</v>
      </c>
    </row>
    <row r="43" ht="15.75" customHeight="1">
      <c r="A43" s="14" t="s">
        <v>532</v>
      </c>
      <c r="B43" s="14" t="s">
        <v>69</v>
      </c>
      <c r="C43" s="14" t="s">
        <v>462</v>
      </c>
      <c r="D43" s="14" t="s">
        <v>613</v>
      </c>
      <c r="E43" s="14" t="s">
        <v>593</v>
      </c>
      <c r="F43" s="14" t="s">
        <v>101</v>
      </c>
      <c r="G43" s="14" t="s">
        <v>268</v>
      </c>
      <c r="H43" s="14" t="s">
        <v>268</v>
      </c>
      <c r="I43" s="14" t="s">
        <v>218</v>
      </c>
      <c r="J43" s="14" t="s">
        <v>614</v>
      </c>
    </row>
    <row r="44" ht="15.75" customHeight="1">
      <c r="A44" s="14" t="s">
        <v>532</v>
      </c>
      <c r="B44" s="14" t="s">
        <v>69</v>
      </c>
      <c r="C44" s="14" t="s">
        <v>462</v>
      </c>
      <c r="D44" s="14" t="s">
        <v>615</v>
      </c>
      <c r="E44" s="14" t="s">
        <v>593</v>
      </c>
      <c r="F44" s="14" t="s">
        <v>101</v>
      </c>
      <c r="G44" s="14" t="s">
        <v>268</v>
      </c>
      <c r="H44" s="14" t="s">
        <v>268</v>
      </c>
      <c r="I44" s="14" t="s">
        <v>218</v>
      </c>
      <c r="J44" s="14" t="s">
        <v>616</v>
      </c>
    </row>
    <row r="45" ht="15.75" customHeight="1">
      <c r="A45" s="14" t="s">
        <v>532</v>
      </c>
      <c r="B45" s="14" t="s">
        <v>69</v>
      </c>
      <c r="C45" s="14" t="s">
        <v>462</v>
      </c>
      <c r="D45" s="14" t="s">
        <v>617</v>
      </c>
      <c r="E45" s="14" t="s">
        <v>593</v>
      </c>
      <c r="F45" s="14" t="s">
        <v>101</v>
      </c>
      <c r="G45" s="14" t="s">
        <v>268</v>
      </c>
      <c r="H45" s="14" t="s">
        <v>268</v>
      </c>
      <c r="I45" s="14" t="s">
        <v>218</v>
      </c>
      <c r="J45" s="14" t="s">
        <v>600</v>
      </c>
    </row>
    <row r="46" ht="15.75" customHeight="1">
      <c r="A46" s="14" t="s">
        <v>532</v>
      </c>
      <c r="B46" s="14" t="s">
        <v>69</v>
      </c>
      <c r="C46" s="14" t="s">
        <v>462</v>
      </c>
      <c r="D46" s="14" t="s">
        <v>618</v>
      </c>
      <c r="E46" s="14" t="s">
        <v>593</v>
      </c>
      <c r="F46" s="14" t="s">
        <v>101</v>
      </c>
      <c r="G46" s="14" t="s">
        <v>268</v>
      </c>
      <c r="H46" s="14" t="s">
        <v>268</v>
      </c>
      <c r="I46" s="14" t="s">
        <v>218</v>
      </c>
      <c r="J46" s="14" t="s">
        <v>619</v>
      </c>
    </row>
    <row r="47" ht="15.75" customHeight="1">
      <c r="A47" s="34"/>
      <c r="B47" s="34"/>
      <c r="C47" s="34"/>
      <c r="D47" s="34"/>
      <c r="E47" s="34"/>
      <c r="F47" s="34"/>
      <c r="G47" s="34"/>
      <c r="H47" s="34"/>
      <c r="I47" s="34"/>
      <c r="J47" s="34"/>
    </row>
    <row r="48" ht="15.75" customHeight="1">
      <c r="A48" s="14" t="s">
        <v>532</v>
      </c>
      <c r="B48" s="14" t="s">
        <v>69</v>
      </c>
      <c r="C48" s="14" t="s">
        <v>464</v>
      </c>
      <c r="D48" s="14" t="s">
        <v>620</v>
      </c>
      <c r="E48" s="14" t="s">
        <v>195</v>
      </c>
      <c r="F48" s="14" t="s">
        <v>218</v>
      </c>
      <c r="G48" s="14" t="s">
        <v>289</v>
      </c>
      <c r="H48" s="14" t="s">
        <v>268</v>
      </c>
      <c r="I48" s="14" t="s">
        <v>101</v>
      </c>
      <c r="J48" s="14" t="s">
        <v>583</v>
      </c>
    </row>
    <row r="49" ht="15.75" customHeight="1">
      <c r="A49" s="14" t="s">
        <v>532</v>
      </c>
      <c r="B49" s="14" t="s">
        <v>69</v>
      </c>
      <c r="C49" s="14" t="s">
        <v>464</v>
      </c>
      <c r="D49" s="14" t="s">
        <v>621</v>
      </c>
      <c r="E49" s="14" t="s">
        <v>195</v>
      </c>
      <c r="F49" s="14" t="s">
        <v>218</v>
      </c>
      <c r="G49" s="14" t="s">
        <v>289</v>
      </c>
      <c r="H49" s="14" t="s">
        <v>268</v>
      </c>
      <c r="I49" s="14" t="s">
        <v>101</v>
      </c>
      <c r="J49" s="14" t="s">
        <v>622</v>
      </c>
    </row>
    <row r="50" ht="15.75" customHeight="1">
      <c r="A50" s="14" t="s">
        <v>532</v>
      </c>
      <c r="B50" s="14" t="s">
        <v>69</v>
      </c>
      <c r="C50" s="14" t="s">
        <v>464</v>
      </c>
      <c r="D50" s="14" t="s">
        <v>623</v>
      </c>
      <c r="E50" s="14" t="s">
        <v>217</v>
      </c>
      <c r="F50" s="14" t="s">
        <v>218</v>
      </c>
      <c r="G50" s="14" t="s">
        <v>326</v>
      </c>
      <c r="H50" s="14" t="s">
        <v>268</v>
      </c>
      <c r="I50" s="14" t="s">
        <v>101</v>
      </c>
      <c r="J50" s="14" t="s">
        <v>607</v>
      </c>
    </row>
    <row r="51" ht="15.75" customHeight="1">
      <c r="A51" s="14" t="s">
        <v>532</v>
      </c>
      <c r="B51" s="14" t="s">
        <v>69</v>
      </c>
      <c r="C51" s="14" t="s">
        <v>464</v>
      </c>
      <c r="D51" s="14" t="s">
        <v>624</v>
      </c>
      <c r="E51" s="14" t="s">
        <v>593</v>
      </c>
      <c r="F51" s="14" t="s">
        <v>101</v>
      </c>
      <c r="G51" s="14" t="s">
        <v>268</v>
      </c>
      <c r="H51" s="14" t="s">
        <v>268</v>
      </c>
      <c r="I51" s="14" t="s">
        <v>218</v>
      </c>
      <c r="J51" s="14" t="s">
        <v>625</v>
      </c>
    </row>
    <row r="52" ht="15.75" customHeight="1">
      <c r="A52" s="14" t="s">
        <v>532</v>
      </c>
      <c r="B52" s="14" t="s">
        <v>69</v>
      </c>
      <c r="C52" s="14" t="s">
        <v>464</v>
      </c>
      <c r="D52" s="14" t="s">
        <v>626</v>
      </c>
      <c r="E52" s="14" t="s">
        <v>228</v>
      </c>
      <c r="F52" s="14" t="s">
        <v>218</v>
      </c>
      <c r="G52" s="14" t="s">
        <v>341</v>
      </c>
      <c r="H52" s="14" t="s">
        <v>268</v>
      </c>
      <c r="I52" s="14" t="s">
        <v>101</v>
      </c>
      <c r="J52" s="14" t="s">
        <v>611</v>
      </c>
    </row>
    <row r="53" ht="15.75" customHeight="1">
      <c r="A53" s="14" t="s">
        <v>532</v>
      </c>
      <c r="B53" s="14" t="s">
        <v>69</v>
      </c>
      <c r="C53" s="14" t="s">
        <v>464</v>
      </c>
      <c r="D53" s="14" t="s">
        <v>627</v>
      </c>
      <c r="E53" s="14" t="s">
        <v>240</v>
      </c>
      <c r="F53" s="14" t="s">
        <v>218</v>
      </c>
      <c r="G53" s="14" t="s">
        <v>349</v>
      </c>
      <c r="H53" s="14" t="s">
        <v>268</v>
      </c>
      <c r="I53" s="14" t="s">
        <v>101</v>
      </c>
      <c r="J53" s="14" t="s">
        <v>628</v>
      </c>
    </row>
    <row r="54" ht="15.75" customHeight="1">
      <c r="A54" s="14" t="s">
        <v>532</v>
      </c>
      <c r="B54" s="14" t="s">
        <v>69</v>
      </c>
      <c r="C54" s="14" t="s">
        <v>464</v>
      </c>
      <c r="D54" s="14" t="s">
        <v>629</v>
      </c>
      <c r="E54" s="14" t="s">
        <v>593</v>
      </c>
      <c r="F54" s="14" t="s">
        <v>101</v>
      </c>
      <c r="G54" s="14" t="s">
        <v>268</v>
      </c>
      <c r="H54" s="14" t="s">
        <v>268</v>
      </c>
      <c r="I54" s="14" t="s">
        <v>218</v>
      </c>
      <c r="J54" s="14" t="s">
        <v>616</v>
      </c>
    </row>
    <row r="55" ht="15.75" customHeight="1">
      <c r="A55" s="14" t="s">
        <v>532</v>
      </c>
      <c r="B55" s="14" t="s">
        <v>69</v>
      </c>
      <c r="C55" s="14" t="s">
        <v>464</v>
      </c>
      <c r="D55" s="14" t="s">
        <v>630</v>
      </c>
      <c r="E55" s="14" t="s">
        <v>593</v>
      </c>
      <c r="F55" s="14" t="s">
        <v>101</v>
      </c>
      <c r="G55" s="14" t="s">
        <v>268</v>
      </c>
      <c r="H55" s="14" t="s">
        <v>268</v>
      </c>
      <c r="I55" s="14" t="s">
        <v>218</v>
      </c>
      <c r="J55" s="14" t="s">
        <v>631</v>
      </c>
    </row>
    <row r="56" ht="15.75" customHeight="1">
      <c r="A56" s="14" t="s">
        <v>532</v>
      </c>
      <c r="B56" s="14" t="s">
        <v>69</v>
      </c>
      <c r="C56" s="14" t="s">
        <v>464</v>
      </c>
      <c r="D56" s="14" t="s">
        <v>632</v>
      </c>
      <c r="E56" s="14" t="s">
        <v>593</v>
      </c>
      <c r="F56" s="14" t="s">
        <v>101</v>
      </c>
      <c r="G56" s="14" t="s">
        <v>268</v>
      </c>
      <c r="H56" s="14" t="s">
        <v>268</v>
      </c>
      <c r="I56" s="14" t="s">
        <v>218</v>
      </c>
      <c r="J56" s="14" t="s">
        <v>633</v>
      </c>
    </row>
    <row r="57" ht="15.75" customHeight="1">
      <c r="A57" s="34"/>
      <c r="B57" s="34"/>
      <c r="C57" s="34"/>
      <c r="D57" s="34"/>
      <c r="E57" s="34"/>
      <c r="F57" s="34"/>
      <c r="G57" s="34"/>
      <c r="H57" s="34"/>
      <c r="I57" s="34"/>
      <c r="J57" s="34"/>
    </row>
    <row r="58" ht="15.75" customHeight="1">
      <c r="A58" s="14" t="s">
        <v>532</v>
      </c>
      <c r="B58" s="14" t="s">
        <v>76</v>
      </c>
      <c r="C58" s="14" t="s">
        <v>458</v>
      </c>
      <c r="D58" s="14" t="s">
        <v>634</v>
      </c>
      <c r="E58" s="14" t="s">
        <v>318</v>
      </c>
      <c r="F58" s="14" t="s">
        <v>218</v>
      </c>
      <c r="G58" s="14" t="s">
        <v>419</v>
      </c>
      <c r="H58" s="14" t="s">
        <v>268</v>
      </c>
      <c r="I58" s="14" t="s">
        <v>101</v>
      </c>
      <c r="J58" s="14" t="s">
        <v>635</v>
      </c>
    </row>
    <row r="59" ht="15.75" customHeight="1">
      <c r="A59" s="14" t="s">
        <v>532</v>
      </c>
      <c r="B59" s="14" t="s">
        <v>76</v>
      </c>
      <c r="C59" s="14" t="s">
        <v>458</v>
      </c>
      <c r="D59" s="14" t="s">
        <v>636</v>
      </c>
      <c r="E59" s="14" t="s">
        <v>593</v>
      </c>
      <c r="F59" s="14" t="s">
        <v>101</v>
      </c>
      <c r="G59" s="14" t="s">
        <v>268</v>
      </c>
      <c r="H59" s="14" t="s">
        <v>268</v>
      </c>
      <c r="I59" s="14" t="s">
        <v>218</v>
      </c>
      <c r="J59" s="14" t="s">
        <v>637</v>
      </c>
    </row>
    <row r="60" ht="15.75" customHeight="1">
      <c r="A60" s="14" t="s">
        <v>532</v>
      </c>
      <c r="B60" s="14" t="s">
        <v>76</v>
      </c>
      <c r="C60" s="14" t="s">
        <v>458</v>
      </c>
      <c r="D60" s="14" t="s">
        <v>638</v>
      </c>
      <c r="E60" s="14" t="s">
        <v>593</v>
      </c>
      <c r="F60" s="14" t="s">
        <v>101</v>
      </c>
      <c r="G60" s="14" t="s">
        <v>268</v>
      </c>
      <c r="H60" s="14" t="s">
        <v>268</v>
      </c>
      <c r="I60" s="14" t="s">
        <v>218</v>
      </c>
      <c r="J60" s="14" t="s">
        <v>639</v>
      </c>
    </row>
    <row r="61" ht="15.75" customHeight="1">
      <c r="A61" s="14" t="s">
        <v>532</v>
      </c>
      <c r="B61" s="14" t="s">
        <v>76</v>
      </c>
      <c r="C61" s="14" t="s">
        <v>458</v>
      </c>
      <c r="D61" s="14" t="s">
        <v>640</v>
      </c>
      <c r="E61" s="14" t="s">
        <v>593</v>
      </c>
      <c r="F61" s="14" t="s">
        <v>101</v>
      </c>
      <c r="G61" s="14" t="s">
        <v>268</v>
      </c>
      <c r="H61" s="14" t="s">
        <v>268</v>
      </c>
      <c r="I61" s="14" t="s">
        <v>218</v>
      </c>
      <c r="J61" s="14" t="s">
        <v>641</v>
      </c>
    </row>
    <row r="62" ht="15.75" customHeight="1">
      <c r="A62" s="14" t="s">
        <v>532</v>
      </c>
      <c r="B62" s="14" t="s">
        <v>76</v>
      </c>
      <c r="C62" s="14" t="s">
        <v>458</v>
      </c>
      <c r="D62" s="14" t="s">
        <v>642</v>
      </c>
      <c r="E62" s="14" t="s">
        <v>593</v>
      </c>
      <c r="F62" s="14" t="s">
        <v>101</v>
      </c>
      <c r="G62" s="14" t="s">
        <v>268</v>
      </c>
      <c r="H62" s="14" t="s">
        <v>268</v>
      </c>
      <c r="I62" s="14" t="s">
        <v>218</v>
      </c>
      <c r="J62" s="14" t="s">
        <v>643</v>
      </c>
    </row>
    <row r="63" ht="15.75" customHeight="1">
      <c r="A63" s="14" t="s">
        <v>532</v>
      </c>
      <c r="B63" s="14" t="s">
        <v>76</v>
      </c>
      <c r="C63" s="14" t="s">
        <v>458</v>
      </c>
      <c r="D63" s="14" t="s">
        <v>644</v>
      </c>
      <c r="E63" s="14" t="s">
        <v>306</v>
      </c>
      <c r="F63" s="14" t="s">
        <v>218</v>
      </c>
      <c r="G63" s="14" t="s">
        <v>405</v>
      </c>
      <c r="H63" s="14" t="s">
        <v>268</v>
      </c>
      <c r="I63" s="14" t="s">
        <v>101</v>
      </c>
      <c r="J63" s="14" t="s">
        <v>645</v>
      </c>
    </row>
    <row r="64" ht="15.75" customHeight="1">
      <c r="A64" s="14" t="s">
        <v>532</v>
      </c>
      <c r="B64" s="14" t="s">
        <v>76</v>
      </c>
      <c r="C64" s="14" t="s">
        <v>458</v>
      </c>
      <c r="D64" s="14" t="s">
        <v>646</v>
      </c>
      <c r="E64" s="14" t="s">
        <v>593</v>
      </c>
      <c r="F64" s="14" t="s">
        <v>101</v>
      </c>
      <c r="G64" s="14" t="s">
        <v>268</v>
      </c>
      <c r="H64" s="14" t="s">
        <v>268</v>
      </c>
      <c r="I64" s="14" t="s">
        <v>218</v>
      </c>
      <c r="J64" s="14" t="s">
        <v>647</v>
      </c>
    </row>
    <row r="65" ht="15.75" customHeight="1">
      <c r="A65" s="14" t="s">
        <v>532</v>
      </c>
      <c r="B65" s="14" t="s">
        <v>76</v>
      </c>
      <c r="C65" s="14" t="s">
        <v>458</v>
      </c>
      <c r="D65" s="14" t="s">
        <v>648</v>
      </c>
      <c r="E65" s="14" t="s">
        <v>318</v>
      </c>
      <c r="F65" s="14" t="s">
        <v>218</v>
      </c>
      <c r="G65" s="14" t="s">
        <v>419</v>
      </c>
      <c r="H65" s="14" t="s">
        <v>268</v>
      </c>
      <c r="I65" s="14" t="s">
        <v>101</v>
      </c>
      <c r="J65" s="14" t="s">
        <v>649</v>
      </c>
    </row>
    <row r="66" ht="15.75" customHeight="1">
      <c r="A66" s="34"/>
      <c r="B66" s="34"/>
      <c r="C66" s="34"/>
      <c r="D66" s="34"/>
      <c r="E66" s="34"/>
      <c r="F66" s="34"/>
      <c r="G66" s="34"/>
      <c r="H66" s="34"/>
      <c r="I66" s="34"/>
      <c r="J66" s="34"/>
    </row>
    <row r="67" ht="15.75" customHeight="1">
      <c r="A67" s="14" t="s">
        <v>532</v>
      </c>
      <c r="B67" s="14" t="s">
        <v>76</v>
      </c>
      <c r="C67" s="14" t="s">
        <v>462</v>
      </c>
      <c r="D67" s="14" t="s">
        <v>650</v>
      </c>
      <c r="E67" s="14" t="s">
        <v>318</v>
      </c>
      <c r="F67" s="14" t="s">
        <v>218</v>
      </c>
      <c r="G67" s="14" t="s">
        <v>419</v>
      </c>
      <c r="H67" s="14" t="s">
        <v>268</v>
      </c>
      <c r="I67" s="14" t="s">
        <v>101</v>
      </c>
      <c r="J67" s="14" t="s">
        <v>635</v>
      </c>
    </row>
    <row r="68" ht="15.75" customHeight="1">
      <c r="A68" s="14" t="s">
        <v>532</v>
      </c>
      <c r="B68" s="14" t="s">
        <v>76</v>
      </c>
      <c r="C68" s="14" t="s">
        <v>462</v>
      </c>
      <c r="D68" s="14" t="s">
        <v>651</v>
      </c>
      <c r="E68" s="14" t="s">
        <v>593</v>
      </c>
      <c r="F68" s="14" t="s">
        <v>101</v>
      </c>
      <c r="G68" s="14" t="s">
        <v>268</v>
      </c>
      <c r="H68" s="14" t="s">
        <v>268</v>
      </c>
      <c r="I68" s="14" t="s">
        <v>218</v>
      </c>
      <c r="J68" s="14" t="s">
        <v>652</v>
      </c>
    </row>
    <row r="69" ht="15.75" customHeight="1">
      <c r="A69" s="14" t="s">
        <v>532</v>
      </c>
      <c r="B69" s="14" t="s">
        <v>76</v>
      </c>
      <c r="C69" s="14" t="s">
        <v>462</v>
      </c>
      <c r="D69" s="14" t="s">
        <v>653</v>
      </c>
      <c r="E69" s="14" t="s">
        <v>593</v>
      </c>
      <c r="F69" s="14" t="s">
        <v>101</v>
      </c>
      <c r="G69" s="14" t="s">
        <v>268</v>
      </c>
      <c r="H69" s="14" t="s">
        <v>268</v>
      </c>
      <c r="I69" s="14" t="s">
        <v>218</v>
      </c>
      <c r="J69" s="14" t="s">
        <v>654</v>
      </c>
    </row>
    <row r="70" ht="15.75" customHeight="1">
      <c r="A70" s="14" t="s">
        <v>532</v>
      </c>
      <c r="B70" s="14" t="s">
        <v>76</v>
      </c>
      <c r="C70" s="14" t="s">
        <v>462</v>
      </c>
      <c r="D70" s="14" t="s">
        <v>655</v>
      </c>
      <c r="E70" s="14" t="s">
        <v>593</v>
      </c>
      <c r="F70" s="14" t="s">
        <v>101</v>
      </c>
      <c r="G70" s="14" t="s">
        <v>268</v>
      </c>
      <c r="H70" s="14" t="s">
        <v>268</v>
      </c>
      <c r="I70" s="14" t="s">
        <v>218</v>
      </c>
      <c r="J70" s="14" t="s">
        <v>641</v>
      </c>
    </row>
    <row r="71" ht="15.75" customHeight="1">
      <c r="A71" s="14" t="s">
        <v>532</v>
      </c>
      <c r="B71" s="14" t="s">
        <v>76</v>
      </c>
      <c r="C71" s="14" t="s">
        <v>462</v>
      </c>
      <c r="D71" s="14" t="s">
        <v>656</v>
      </c>
      <c r="E71" s="14" t="s">
        <v>593</v>
      </c>
      <c r="F71" s="14" t="s">
        <v>101</v>
      </c>
      <c r="G71" s="14" t="s">
        <v>268</v>
      </c>
      <c r="H71" s="14" t="s">
        <v>268</v>
      </c>
      <c r="I71" s="14" t="s">
        <v>218</v>
      </c>
      <c r="J71" s="14" t="s">
        <v>643</v>
      </c>
    </row>
    <row r="72" ht="15.75" customHeight="1">
      <c r="A72" s="14" t="s">
        <v>532</v>
      </c>
      <c r="B72" s="14" t="s">
        <v>76</v>
      </c>
      <c r="C72" s="14" t="s">
        <v>462</v>
      </c>
      <c r="D72" s="14" t="s">
        <v>657</v>
      </c>
      <c r="E72" s="14" t="s">
        <v>593</v>
      </c>
      <c r="F72" s="14" t="s">
        <v>101</v>
      </c>
      <c r="G72" s="14" t="s">
        <v>268</v>
      </c>
      <c r="H72" s="14" t="s">
        <v>268</v>
      </c>
      <c r="I72" s="14" t="s">
        <v>218</v>
      </c>
      <c r="J72" s="14" t="s">
        <v>658</v>
      </c>
    </row>
    <row r="73" ht="15.75" customHeight="1">
      <c r="A73" s="14" t="s">
        <v>532</v>
      </c>
      <c r="B73" s="14" t="s">
        <v>76</v>
      </c>
      <c r="C73" s="14" t="s">
        <v>462</v>
      </c>
      <c r="D73" s="14" t="s">
        <v>659</v>
      </c>
      <c r="E73" s="14" t="s">
        <v>306</v>
      </c>
      <c r="F73" s="14" t="s">
        <v>218</v>
      </c>
      <c r="G73" s="14" t="s">
        <v>405</v>
      </c>
      <c r="H73" s="14" t="s">
        <v>268</v>
      </c>
      <c r="I73" s="14" t="s">
        <v>101</v>
      </c>
      <c r="J73" s="14" t="s">
        <v>645</v>
      </c>
    </row>
    <row r="74" ht="15.75" customHeight="1">
      <c r="A74" s="14" t="s">
        <v>532</v>
      </c>
      <c r="B74" s="14" t="s">
        <v>76</v>
      </c>
      <c r="C74" s="14" t="s">
        <v>462</v>
      </c>
      <c r="D74" s="14" t="s">
        <v>660</v>
      </c>
      <c r="E74" s="14" t="s">
        <v>318</v>
      </c>
      <c r="F74" s="14" t="s">
        <v>218</v>
      </c>
      <c r="G74" s="14" t="s">
        <v>419</v>
      </c>
      <c r="H74" s="14" t="s">
        <v>268</v>
      </c>
      <c r="I74" s="14" t="s">
        <v>101</v>
      </c>
      <c r="J74" s="14" t="s">
        <v>661</v>
      </c>
    </row>
    <row r="75" ht="15.75" customHeight="1">
      <c r="A75" s="34"/>
      <c r="B75" s="34"/>
      <c r="C75" s="34"/>
      <c r="D75" s="34"/>
      <c r="E75" s="34"/>
      <c r="F75" s="34"/>
      <c r="G75" s="34"/>
      <c r="H75" s="34"/>
      <c r="I75" s="34"/>
      <c r="J75" s="34"/>
    </row>
    <row r="76" ht="15.75" customHeight="1">
      <c r="A76" s="14" t="s">
        <v>532</v>
      </c>
      <c r="B76" s="14" t="s">
        <v>76</v>
      </c>
      <c r="C76" s="14" t="s">
        <v>464</v>
      </c>
      <c r="D76" s="14" t="s">
        <v>664</v>
      </c>
      <c r="E76" s="14" t="s">
        <v>318</v>
      </c>
      <c r="F76" s="14" t="s">
        <v>218</v>
      </c>
      <c r="G76" s="14" t="s">
        <v>419</v>
      </c>
      <c r="H76" s="14" t="s">
        <v>101</v>
      </c>
      <c r="I76" s="14" t="s">
        <v>101</v>
      </c>
      <c r="J76" s="14" t="s">
        <v>635</v>
      </c>
    </row>
    <row r="77" ht="15.75" customHeight="1">
      <c r="A77" s="14" t="s">
        <v>532</v>
      </c>
      <c r="B77" s="14" t="s">
        <v>76</v>
      </c>
      <c r="C77" s="14" t="s">
        <v>464</v>
      </c>
      <c r="D77" s="14" t="s">
        <v>665</v>
      </c>
      <c r="E77" s="14" t="s">
        <v>593</v>
      </c>
      <c r="F77" s="14" t="s">
        <v>101</v>
      </c>
      <c r="G77" s="14" t="s">
        <v>268</v>
      </c>
      <c r="H77" s="14" t="s">
        <v>268</v>
      </c>
      <c r="I77" s="14" t="s">
        <v>218</v>
      </c>
      <c r="J77" s="14" t="s">
        <v>666</v>
      </c>
    </row>
    <row r="78" ht="15.75" customHeight="1">
      <c r="A78" s="14" t="s">
        <v>532</v>
      </c>
      <c r="B78" s="14" t="s">
        <v>76</v>
      </c>
      <c r="C78" s="14" t="s">
        <v>464</v>
      </c>
      <c r="D78" s="14" t="s">
        <v>667</v>
      </c>
      <c r="E78" s="14" t="s">
        <v>593</v>
      </c>
      <c r="F78" s="14" t="s">
        <v>101</v>
      </c>
      <c r="G78" s="14" t="s">
        <v>268</v>
      </c>
      <c r="H78" s="14" t="s">
        <v>268</v>
      </c>
      <c r="I78" s="14" t="s">
        <v>218</v>
      </c>
      <c r="J78" s="14" t="s">
        <v>654</v>
      </c>
    </row>
    <row r="79" ht="15.75" customHeight="1">
      <c r="A79" s="14" t="s">
        <v>532</v>
      </c>
      <c r="B79" s="14" t="s">
        <v>76</v>
      </c>
      <c r="C79" s="14" t="s">
        <v>464</v>
      </c>
      <c r="D79" s="14" t="s">
        <v>670</v>
      </c>
      <c r="E79" s="14" t="s">
        <v>593</v>
      </c>
      <c r="F79" s="14" t="s">
        <v>101</v>
      </c>
      <c r="G79" s="14" t="s">
        <v>268</v>
      </c>
      <c r="H79" s="14" t="s">
        <v>268</v>
      </c>
      <c r="I79" s="14" t="s">
        <v>218</v>
      </c>
      <c r="J79" s="14" t="s">
        <v>641</v>
      </c>
    </row>
    <row r="80" ht="15.75" customHeight="1">
      <c r="A80" s="14" t="s">
        <v>532</v>
      </c>
      <c r="B80" s="14" t="s">
        <v>76</v>
      </c>
      <c r="C80" s="14" t="s">
        <v>464</v>
      </c>
      <c r="D80" s="14" t="s">
        <v>674</v>
      </c>
      <c r="E80" s="14" t="s">
        <v>593</v>
      </c>
      <c r="F80" s="14" t="s">
        <v>101</v>
      </c>
      <c r="G80" s="14" t="s">
        <v>268</v>
      </c>
      <c r="H80" s="14" t="s">
        <v>268</v>
      </c>
      <c r="I80" s="14" t="s">
        <v>218</v>
      </c>
      <c r="J80" s="14" t="s">
        <v>643</v>
      </c>
    </row>
    <row r="81" ht="15.75" customHeight="1">
      <c r="A81" s="14" t="s">
        <v>532</v>
      </c>
      <c r="B81" s="14" t="s">
        <v>76</v>
      </c>
      <c r="C81" s="14" t="s">
        <v>464</v>
      </c>
      <c r="D81" s="14" t="s">
        <v>677</v>
      </c>
      <c r="E81" s="14" t="s">
        <v>593</v>
      </c>
      <c r="F81" s="14" t="s">
        <v>101</v>
      </c>
      <c r="G81" s="14" t="s">
        <v>268</v>
      </c>
      <c r="H81" s="14" t="s">
        <v>268</v>
      </c>
      <c r="I81" s="14" t="s">
        <v>218</v>
      </c>
      <c r="J81" s="14" t="s">
        <v>658</v>
      </c>
    </row>
    <row r="82" ht="15.75" customHeight="1">
      <c r="A82" s="14" t="s">
        <v>532</v>
      </c>
      <c r="B82" s="14" t="s">
        <v>76</v>
      </c>
      <c r="C82" s="14" t="s">
        <v>464</v>
      </c>
      <c r="D82" s="14" t="s">
        <v>678</v>
      </c>
      <c r="E82" s="14" t="s">
        <v>306</v>
      </c>
      <c r="F82" s="14" t="s">
        <v>218</v>
      </c>
      <c r="G82" s="14" t="s">
        <v>405</v>
      </c>
      <c r="H82" s="14" t="s">
        <v>101</v>
      </c>
      <c r="I82" s="14" t="s">
        <v>101</v>
      </c>
      <c r="J82" s="14" t="s">
        <v>645</v>
      </c>
    </row>
    <row r="83" ht="15.75" customHeight="1">
      <c r="A83" s="14" t="s">
        <v>532</v>
      </c>
      <c r="B83" s="14" t="s">
        <v>76</v>
      </c>
      <c r="C83" s="14" t="s">
        <v>464</v>
      </c>
      <c r="D83" s="14" t="s">
        <v>679</v>
      </c>
      <c r="E83" s="14" t="s">
        <v>318</v>
      </c>
      <c r="F83" s="14" t="s">
        <v>218</v>
      </c>
      <c r="G83" s="14" t="s">
        <v>419</v>
      </c>
      <c r="H83" s="14" t="s">
        <v>101</v>
      </c>
      <c r="I83" s="14" t="s">
        <v>101</v>
      </c>
      <c r="J83" s="14" t="s">
        <v>680</v>
      </c>
    </row>
    <row r="84" ht="15.75" customHeight="1">
      <c r="A84" s="43"/>
      <c r="B84" s="43"/>
      <c r="C84" s="43"/>
      <c r="D84" s="43"/>
      <c r="E84" s="43"/>
      <c r="F84" s="43"/>
      <c r="G84" s="43"/>
      <c r="H84" s="43"/>
      <c r="I84" s="43"/>
      <c r="J84" s="43"/>
    </row>
    <row r="85" ht="15.75" customHeight="1">
      <c r="A85" s="14" t="s">
        <v>684</v>
      </c>
      <c r="B85" s="14" t="s">
        <v>25</v>
      </c>
      <c r="C85" s="14" t="s">
        <v>458</v>
      </c>
      <c r="D85" s="14" t="s">
        <v>685</v>
      </c>
      <c r="E85" s="14" t="s">
        <v>75</v>
      </c>
      <c r="F85" s="14" t="s">
        <v>218</v>
      </c>
      <c r="G85" s="14" t="s">
        <v>90</v>
      </c>
      <c r="H85" s="14" t="s">
        <v>268</v>
      </c>
      <c r="I85" s="14" t="s">
        <v>101</v>
      </c>
      <c r="J85" s="14" t="s">
        <v>686</v>
      </c>
    </row>
    <row r="86" ht="15.75" customHeight="1">
      <c r="A86" s="14" t="s">
        <v>684</v>
      </c>
      <c r="B86" s="14" t="s">
        <v>25</v>
      </c>
      <c r="C86" s="14" t="s">
        <v>458</v>
      </c>
      <c r="D86" s="14" t="s">
        <v>687</v>
      </c>
      <c r="E86" s="14" t="s">
        <v>100</v>
      </c>
      <c r="F86" s="14" t="s">
        <v>218</v>
      </c>
      <c r="G86" s="14" t="s">
        <v>143</v>
      </c>
      <c r="H86" s="14" t="s">
        <v>268</v>
      </c>
      <c r="I86" s="14" t="s">
        <v>101</v>
      </c>
      <c r="J86" s="14" t="s">
        <v>688</v>
      </c>
    </row>
    <row r="87" ht="15.75" customHeight="1">
      <c r="A87" s="14" t="s">
        <v>684</v>
      </c>
      <c r="B87" s="14" t="s">
        <v>25</v>
      </c>
      <c r="C87" s="14" t="s">
        <v>458</v>
      </c>
      <c r="D87" s="14" t="s">
        <v>689</v>
      </c>
      <c r="E87" s="14" t="s">
        <v>118</v>
      </c>
      <c r="F87" s="14" t="s">
        <v>218</v>
      </c>
      <c r="G87" s="14" t="s">
        <v>172</v>
      </c>
      <c r="H87" s="14" t="s">
        <v>268</v>
      </c>
      <c r="I87" s="14" t="s">
        <v>101</v>
      </c>
      <c r="J87" s="14" t="s">
        <v>690</v>
      </c>
    </row>
    <row r="88" ht="15.75" customHeight="1">
      <c r="A88" s="14" t="s">
        <v>684</v>
      </c>
      <c r="B88" s="14" t="s">
        <v>25</v>
      </c>
      <c r="C88" s="14" t="s">
        <v>458</v>
      </c>
      <c r="D88" s="14" t="s">
        <v>691</v>
      </c>
      <c r="E88" s="14" t="s">
        <v>118</v>
      </c>
      <c r="F88" s="14" t="s">
        <v>218</v>
      </c>
      <c r="G88" s="14" t="s">
        <v>191</v>
      </c>
      <c r="H88" s="14" t="s">
        <v>268</v>
      </c>
      <c r="I88" s="14" t="s">
        <v>101</v>
      </c>
      <c r="J88" s="14" t="s">
        <v>692</v>
      </c>
    </row>
    <row r="89" ht="15.75" customHeight="1">
      <c r="A89" s="14" t="s">
        <v>684</v>
      </c>
      <c r="B89" s="14" t="s">
        <v>25</v>
      </c>
      <c r="C89" s="14" t="s">
        <v>458</v>
      </c>
      <c r="D89" s="14" t="s">
        <v>693</v>
      </c>
      <c r="E89" s="14" t="s">
        <v>149</v>
      </c>
      <c r="F89" s="14" t="s">
        <v>218</v>
      </c>
      <c r="G89" s="14" t="s">
        <v>214</v>
      </c>
      <c r="H89" s="14" t="s">
        <v>218</v>
      </c>
      <c r="I89" s="14" t="s">
        <v>101</v>
      </c>
      <c r="J89" s="14" t="s">
        <v>696</v>
      </c>
    </row>
    <row r="90" ht="15.75" customHeight="1">
      <c r="A90" s="14" t="s">
        <v>684</v>
      </c>
      <c r="B90" s="14" t="s">
        <v>25</v>
      </c>
      <c r="C90" s="14" t="s">
        <v>458</v>
      </c>
      <c r="D90" s="14" t="s">
        <v>697</v>
      </c>
      <c r="E90" s="14" t="s">
        <v>698</v>
      </c>
      <c r="F90" s="14" t="s">
        <v>218</v>
      </c>
      <c r="G90" s="14" t="s">
        <v>235</v>
      </c>
      <c r="H90" s="14" t="s">
        <v>268</v>
      </c>
      <c r="I90" s="14" t="s">
        <v>101</v>
      </c>
      <c r="J90" s="14" t="s">
        <v>699</v>
      </c>
    </row>
    <row r="91" ht="15.75" customHeight="1">
      <c r="A91" s="34"/>
      <c r="B91" s="34"/>
      <c r="C91" s="34"/>
      <c r="D91" s="34"/>
      <c r="E91" s="34"/>
      <c r="F91" s="34"/>
      <c r="G91" s="34"/>
      <c r="H91" s="34"/>
      <c r="I91" s="34"/>
      <c r="J91" s="34"/>
    </row>
    <row r="92" ht="15.75" customHeight="1">
      <c r="A92" s="14" t="s">
        <v>684</v>
      </c>
      <c r="B92" s="14" t="s">
        <v>25</v>
      </c>
      <c r="C92" s="14" t="s">
        <v>462</v>
      </c>
      <c r="D92" s="14" t="s">
        <v>704</v>
      </c>
      <c r="E92" s="14" t="s">
        <v>75</v>
      </c>
      <c r="F92" s="14" t="s">
        <v>218</v>
      </c>
      <c r="G92" s="14" t="s">
        <v>90</v>
      </c>
      <c r="H92" s="14" t="s">
        <v>268</v>
      </c>
      <c r="I92" s="14" t="s">
        <v>101</v>
      </c>
      <c r="J92" s="14" t="s">
        <v>686</v>
      </c>
    </row>
    <row r="93" ht="15.75" customHeight="1">
      <c r="A93" s="14" t="s">
        <v>684</v>
      </c>
      <c r="B93" s="14" t="s">
        <v>25</v>
      </c>
      <c r="C93" s="14" t="s">
        <v>462</v>
      </c>
      <c r="D93" s="14" t="s">
        <v>708</v>
      </c>
      <c r="E93" s="14" t="s">
        <v>100</v>
      </c>
      <c r="F93" s="14" t="s">
        <v>218</v>
      </c>
      <c r="G93" s="14" t="s">
        <v>143</v>
      </c>
      <c r="H93" s="14" t="s">
        <v>268</v>
      </c>
      <c r="I93" s="14" t="s">
        <v>101</v>
      </c>
      <c r="J93" s="14" t="s">
        <v>688</v>
      </c>
    </row>
    <row r="94" ht="15.75" customHeight="1">
      <c r="A94" s="14" t="s">
        <v>684</v>
      </c>
      <c r="B94" s="14" t="s">
        <v>25</v>
      </c>
      <c r="C94" s="14" t="s">
        <v>462</v>
      </c>
      <c r="D94" s="14" t="s">
        <v>709</v>
      </c>
      <c r="E94" s="14" t="s">
        <v>118</v>
      </c>
      <c r="F94" s="14" t="s">
        <v>218</v>
      </c>
      <c r="G94" s="14" t="s">
        <v>172</v>
      </c>
      <c r="H94" s="14" t="s">
        <v>268</v>
      </c>
      <c r="I94" s="14" t="s">
        <v>101</v>
      </c>
      <c r="J94" s="14" t="s">
        <v>690</v>
      </c>
    </row>
    <row r="95" ht="15.75" customHeight="1">
      <c r="A95" s="14" t="s">
        <v>684</v>
      </c>
      <c r="B95" s="14" t="s">
        <v>25</v>
      </c>
      <c r="C95" s="14" t="s">
        <v>462</v>
      </c>
      <c r="D95" s="14" t="s">
        <v>710</v>
      </c>
      <c r="E95" s="14" t="s">
        <v>118</v>
      </c>
      <c r="F95" s="14" t="s">
        <v>218</v>
      </c>
      <c r="G95" s="14" t="s">
        <v>191</v>
      </c>
      <c r="H95" s="14" t="s">
        <v>268</v>
      </c>
      <c r="I95" s="14" t="s">
        <v>101</v>
      </c>
      <c r="J95" s="14" t="s">
        <v>692</v>
      </c>
    </row>
    <row r="96" ht="15.75" customHeight="1">
      <c r="A96" s="14" t="s">
        <v>684</v>
      </c>
      <c r="B96" s="14" t="s">
        <v>25</v>
      </c>
      <c r="C96" s="14" t="s">
        <v>462</v>
      </c>
      <c r="D96" s="14" t="s">
        <v>711</v>
      </c>
      <c r="E96" s="14" t="s">
        <v>149</v>
      </c>
      <c r="F96" s="14" t="s">
        <v>218</v>
      </c>
      <c r="G96" s="14" t="s">
        <v>214</v>
      </c>
      <c r="H96" s="14" t="s">
        <v>218</v>
      </c>
      <c r="I96" s="14" t="s">
        <v>101</v>
      </c>
      <c r="J96" s="14" t="s">
        <v>692</v>
      </c>
    </row>
    <row r="97" ht="15.75" customHeight="1">
      <c r="A97" s="14" t="s">
        <v>684</v>
      </c>
      <c r="B97" s="14" t="s">
        <v>25</v>
      </c>
      <c r="C97" s="14" t="s">
        <v>462</v>
      </c>
      <c r="D97" s="14" t="s">
        <v>712</v>
      </c>
      <c r="E97" s="14" t="s">
        <v>698</v>
      </c>
      <c r="F97" s="14" t="s">
        <v>218</v>
      </c>
      <c r="G97" s="14" t="s">
        <v>235</v>
      </c>
      <c r="H97" s="14" t="s">
        <v>268</v>
      </c>
      <c r="I97" s="14" t="s">
        <v>101</v>
      </c>
      <c r="J97" s="14" t="s">
        <v>699</v>
      </c>
    </row>
    <row r="98" ht="15.75" customHeight="1">
      <c r="A98" s="34"/>
      <c r="B98" s="34"/>
      <c r="C98" s="34"/>
      <c r="D98" s="34"/>
      <c r="E98" s="34"/>
      <c r="F98" s="34"/>
      <c r="G98" s="34"/>
      <c r="H98" s="34"/>
      <c r="I98" s="34"/>
      <c r="J98" s="34"/>
    </row>
    <row r="99" ht="15.75" customHeight="1">
      <c r="A99" s="14" t="s">
        <v>684</v>
      </c>
      <c r="B99" s="14" t="s">
        <v>25</v>
      </c>
      <c r="C99" s="14" t="s">
        <v>464</v>
      </c>
      <c r="D99" s="14" t="s">
        <v>713</v>
      </c>
      <c r="E99" s="14" t="s">
        <v>75</v>
      </c>
      <c r="F99" s="14" t="s">
        <v>218</v>
      </c>
      <c r="G99" s="14" t="s">
        <v>90</v>
      </c>
      <c r="H99" s="14" t="s">
        <v>268</v>
      </c>
      <c r="I99" s="14" t="s">
        <v>101</v>
      </c>
      <c r="J99" s="14" t="s">
        <v>686</v>
      </c>
    </row>
    <row r="100" ht="15.75" customHeight="1">
      <c r="A100" s="14" t="s">
        <v>684</v>
      </c>
      <c r="B100" s="14" t="s">
        <v>25</v>
      </c>
      <c r="C100" s="14" t="s">
        <v>464</v>
      </c>
      <c r="D100" s="14" t="s">
        <v>714</v>
      </c>
      <c r="E100" s="14" t="s">
        <v>100</v>
      </c>
      <c r="F100" s="14" t="s">
        <v>218</v>
      </c>
      <c r="G100" s="14" t="s">
        <v>143</v>
      </c>
      <c r="H100" s="14" t="s">
        <v>268</v>
      </c>
      <c r="I100" s="14" t="s">
        <v>101</v>
      </c>
      <c r="J100" s="14" t="s">
        <v>688</v>
      </c>
    </row>
    <row r="101" ht="15.75" customHeight="1">
      <c r="A101" s="14" t="s">
        <v>684</v>
      </c>
      <c r="B101" s="14" t="s">
        <v>25</v>
      </c>
      <c r="C101" s="14" t="s">
        <v>464</v>
      </c>
      <c r="D101" s="14" t="s">
        <v>715</v>
      </c>
      <c r="E101" s="14" t="s">
        <v>118</v>
      </c>
      <c r="F101" s="14" t="s">
        <v>218</v>
      </c>
      <c r="G101" s="14" t="s">
        <v>172</v>
      </c>
      <c r="H101" s="14" t="s">
        <v>268</v>
      </c>
      <c r="I101" s="14" t="s">
        <v>101</v>
      </c>
      <c r="J101" s="14" t="s">
        <v>690</v>
      </c>
    </row>
    <row r="102" ht="15.75" customHeight="1">
      <c r="A102" s="14" t="s">
        <v>684</v>
      </c>
      <c r="B102" s="14" t="s">
        <v>25</v>
      </c>
      <c r="C102" s="14" t="s">
        <v>464</v>
      </c>
      <c r="D102" s="14" t="s">
        <v>716</v>
      </c>
      <c r="E102" s="14" t="s">
        <v>118</v>
      </c>
      <c r="F102" s="14" t="s">
        <v>218</v>
      </c>
      <c r="G102" s="14" t="s">
        <v>191</v>
      </c>
      <c r="H102" s="14" t="s">
        <v>268</v>
      </c>
      <c r="I102" s="14" t="s">
        <v>101</v>
      </c>
      <c r="J102" s="14" t="s">
        <v>692</v>
      </c>
    </row>
    <row r="103" ht="15.75" customHeight="1">
      <c r="A103" s="14" t="s">
        <v>684</v>
      </c>
      <c r="B103" s="14" t="s">
        <v>25</v>
      </c>
      <c r="C103" s="14" t="s">
        <v>464</v>
      </c>
      <c r="D103" s="14" t="s">
        <v>717</v>
      </c>
      <c r="E103" s="14" t="s">
        <v>149</v>
      </c>
      <c r="F103" s="14" t="s">
        <v>218</v>
      </c>
      <c r="G103" s="14" t="s">
        <v>214</v>
      </c>
      <c r="H103" s="14" t="s">
        <v>218</v>
      </c>
      <c r="I103" s="14" t="s">
        <v>101</v>
      </c>
      <c r="J103" s="14" t="s">
        <v>696</v>
      </c>
    </row>
    <row r="104" ht="15.75" customHeight="1">
      <c r="A104" s="14" t="s">
        <v>684</v>
      </c>
      <c r="B104" s="14" t="s">
        <v>25</v>
      </c>
      <c r="C104" s="14" t="s">
        <v>464</v>
      </c>
      <c r="D104" s="14" t="s">
        <v>718</v>
      </c>
      <c r="E104" s="14" t="s">
        <v>698</v>
      </c>
      <c r="F104" s="14" t="s">
        <v>218</v>
      </c>
      <c r="G104" s="14" t="s">
        <v>235</v>
      </c>
      <c r="H104" s="14" t="s">
        <v>268</v>
      </c>
      <c r="I104" s="14" t="s">
        <v>101</v>
      </c>
      <c r="J104" s="14" t="s">
        <v>699</v>
      </c>
    </row>
    <row r="105" ht="15.75" customHeight="1">
      <c r="A105" s="59"/>
      <c r="B105" s="59"/>
      <c r="C105" s="59"/>
      <c r="D105" s="34"/>
      <c r="E105" s="34"/>
      <c r="F105" s="34"/>
      <c r="G105" s="34"/>
      <c r="H105" s="34"/>
      <c r="I105" s="34"/>
      <c r="J105" s="34"/>
    </row>
    <row r="106" ht="15.75" customHeight="1">
      <c r="A106" s="14" t="s">
        <v>684</v>
      </c>
      <c r="B106" s="14" t="s">
        <v>69</v>
      </c>
      <c r="C106" s="14" t="s">
        <v>458</v>
      </c>
      <c r="D106" s="14" t="s">
        <v>719</v>
      </c>
      <c r="E106" s="14" t="s">
        <v>195</v>
      </c>
      <c r="F106" s="14" t="s">
        <v>218</v>
      </c>
      <c r="G106" s="14" t="s">
        <v>289</v>
      </c>
      <c r="H106" s="14" t="s">
        <v>268</v>
      </c>
      <c r="I106" s="14" t="s">
        <v>101</v>
      </c>
      <c r="J106" s="14" t="s">
        <v>720</v>
      </c>
    </row>
    <row r="107" ht="15.75" customHeight="1">
      <c r="A107" s="14" t="s">
        <v>684</v>
      </c>
      <c r="B107" s="14" t="s">
        <v>69</v>
      </c>
      <c r="C107" s="14" t="s">
        <v>458</v>
      </c>
      <c r="D107" s="14" t="s">
        <v>721</v>
      </c>
      <c r="E107" s="14" t="s">
        <v>204</v>
      </c>
      <c r="F107" s="14" t="s">
        <v>218</v>
      </c>
      <c r="G107" s="14" t="s">
        <v>308</v>
      </c>
      <c r="H107" s="14" t="s">
        <v>218</v>
      </c>
      <c r="I107" s="14" t="s">
        <v>101</v>
      </c>
      <c r="J107" s="14" t="s">
        <v>722</v>
      </c>
    </row>
    <row r="108" ht="15.75" customHeight="1">
      <c r="A108" s="14" t="s">
        <v>684</v>
      </c>
      <c r="B108" s="14" t="s">
        <v>69</v>
      </c>
      <c r="C108" s="14" t="s">
        <v>458</v>
      </c>
      <c r="D108" s="14" t="s">
        <v>723</v>
      </c>
      <c r="E108" s="14" t="s">
        <v>217</v>
      </c>
      <c r="F108" s="14" t="s">
        <v>218</v>
      </c>
      <c r="G108" s="14" t="s">
        <v>326</v>
      </c>
      <c r="H108" s="14" t="s">
        <v>268</v>
      </c>
      <c r="I108" s="14" t="s">
        <v>101</v>
      </c>
      <c r="J108" s="14" t="s">
        <v>724</v>
      </c>
    </row>
    <row r="109" ht="15.75" customHeight="1">
      <c r="A109" s="14" t="s">
        <v>684</v>
      </c>
      <c r="B109" s="14" t="s">
        <v>69</v>
      </c>
      <c r="C109" s="14" t="s">
        <v>458</v>
      </c>
      <c r="D109" s="14" t="s">
        <v>725</v>
      </c>
      <c r="E109" s="14" t="s">
        <v>228</v>
      </c>
      <c r="F109" s="14" t="s">
        <v>218</v>
      </c>
      <c r="G109" s="14" t="s">
        <v>341</v>
      </c>
      <c r="H109" s="14" t="s">
        <v>268</v>
      </c>
      <c r="I109" s="14" t="s">
        <v>101</v>
      </c>
      <c r="J109" s="14" t="s">
        <v>726</v>
      </c>
    </row>
    <row r="110" ht="15.75" customHeight="1">
      <c r="A110" s="14" t="s">
        <v>684</v>
      </c>
      <c r="B110" s="14" t="s">
        <v>69</v>
      </c>
      <c r="C110" s="14" t="s">
        <v>458</v>
      </c>
      <c r="D110" s="14" t="s">
        <v>727</v>
      </c>
      <c r="E110" s="14" t="s">
        <v>240</v>
      </c>
      <c r="F110" s="14" t="s">
        <v>218</v>
      </c>
      <c r="G110" s="14" t="s">
        <v>349</v>
      </c>
      <c r="H110" s="14" t="s">
        <v>218</v>
      </c>
      <c r="I110" s="14" t="s">
        <v>101</v>
      </c>
      <c r="J110" s="14" t="s">
        <v>728</v>
      </c>
    </row>
    <row r="111" ht="15.75" customHeight="1">
      <c r="A111" s="14" t="s">
        <v>684</v>
      </c>
      <c r="B111" s="14" t="s">
        <v>69</v>
      </c>
      <c r="C111" s="14" t="s">
        <v>458</v>
      </c>
      <c r="D111" s="14" t="s">
        <v>729</v>
      </c>
      <c r="E111" s="14" t="s">
        <v>247</v>
      </c>
      <c r="F111" s="14" t="s">
        <v>218</v>
      </c>
      <c r="G111" s="14" t="s">
        <v>357</v>
      </c>
      <c r="H111" s="14" t="s">
        <v>268</v>
      </c>
      <c r="I111" s="14" t="s">
        <v>101</v>
      </c>
      <c r="J111" s="14" t="s">
        <v>730</v>
      </c>
    </row>
    <row r="112" ht="15.75" customHeight="1">
      <c r="A112" s="14" t="s">
        <v>684</v>
      </c>
      <c r="B112" s="14" t="s">
        <v>69</v>
      </c>
      <c r="C112" s="14" t="s">
        <v>458</v>
      </c>
      <c r="D112" s="14" t="s">
        <v>731</v>
      </c>
      <c r="E112" s="14" t="s">
        <v>260</v>
      </c>
      <c r="F112" s="14" t="s">
        <v>218</v>
      </c>
      <c r="G112" s="14" t="s">
        <v>365</v>
      </c>
      <c r="H112" s="14" t="s">
        <v>268</v>
      </c>
      <c r="I112" s="14" t="s">
        <v>101</v>
      </c>
      <c r="J112" s="14" t="s">
        <v>732</v>
      </c>
    </row>
    <row r="113" ht="15.75" customHeight="1">
      <c r="A113" s="34"/>
      <c r="B113" s="34"/>
      <c r="C113" s="34"/>
      <c r="D113" s="34"/>
      <c r="E113" s="34"/>
      <c r="F113" s="34"/>
      <c r="G113" s="34"/>
      <c r="H113" s="34"/>
      <c r="I113" s="34"/>
      <c r="J113" s="34"/>
    </row>
    <row r="114" ht="15.75" customHeight="1">
      <c r="A114" s="14" t="s">
        <v>684</v>
      </c>
      <c r="B114" s="14" t="s">
        <v>69</v>
      </c>
      <c r="C114" s="14" t="s">
        <v>462</v>
      </c>
      <c r="D114" s="14" t="s">
        <v>733</v>
      </c>
      <c r="E114" s="14" t="s">
        <v>195</v>
      </c>
      <c r="F114" s="14" t="s">
        <v>218</v>
      </c>
      <c r="G114" s="14" t="s">
        <v>289</v>
      </c>
      <c r="H114" s="14" t="s">
        <v>268</v>
      </c>
      <c r="I114" s="14" t="s">
        <v>101</v>
      </c>
      <c r="J114" s="14" t="s">
        <v>720</v>
      </c>
    </row>
    <row r="115" ht="15.75" customHeight="1">
      <c r="A115" s="14" t="s">
        <v>684</v>
      </c>
      <c r="B115" s="14" t="s">
        <v>69</v>
      </c>
      <c r="C115" s="14" t="s">
        <v>462</v>
      </c>
      <c r="D115" s="14" t="s">
        <v>734</v>
      </c>
      <c r="E115" s="14" t="s">
        <v>204</v>
      </c>
      <c r="F115" s="14" t="s">
        <v>218</v>
      </c>
      <c r="G115" s="14" t="s">
        <v>308</v>
      </c>
      <c r="H115" s="14" t="s">
        <v>218</v>
      </c>
      <c r="I115" s="14" t="s">
        <v>101</v>
      </c>
      <c r="J115" s="14" t="s">
        <v>735</v>
      </c>
    </row>
    <row r="116" ht="15.75" customHeight="1">
      <c r="A116" s="14" t="s">
        <v>684</v>
      </c>
      <c r="B116" s="14" t="s">
        <v>69</v>
      </c>
      <c r="C116" s="14" t="s">
        <v>462</v>
      </c>
      <c r="D116" s="14" t="s">
        <v>736</v>
      </c>
      <c r="E116" s="14" t="s">
        <v>217</v>
      </c>
      <c r="F116" s="14" t="s">
        <v>218</v>
      </c>
      <c r="G116" s="14" t="s">
        <v>326</v>
      </c>
      <c r="H116" s="14" t="s">
        <v>268</v>
      </c>
      <c r="I116" s="14" t="s">
        <v>101</v>
      </c>
      <c r="J116" s="14" t="s">
        <v>737</v>
      </c>
    </row>
    <row r="117" ht="15.75" customHeight="1">
      <c r="A117" s="14" t="s">
        <v>684</v>
      </c>
      <c r="B117" s="14" t="s">
        <v>69</v>
      </c>
      <c r="C117" s="14" t="s">
        <v>462</v>
      </c>
      <c r="D117" s="14" t="s">
        <v>738</v>
      </c>
      <c r="E117" s="14" t="s">
        <v>228</v>
      </c>
      <c r="F117" s="14" t="s">
        <v>218</v>
      </c>
      <c r="G117" s="14" t="s">
        <v>341</v>
      </c>
      <c r="H117" s="14" t="s">
        <v>268</v>
      </c>
      <c r="I117" s="14" t="s">
        <v>101</v>
      </c>
      <c r="J117" s="14" t="s">
        <v>726</v>
      </c>
    </row>
    <row r="118" ht="15.75" customHeight="1">
      <c r="A118" s="14" t="s">
        <v>684</v>
      </c>
      <c r="B118" s="14" t="s">
        <v>69</v>
      </c>
      <c r="C118" s="14" t="s">
        <v>462</v>
      </c>
      <c r="D118" s="14" t="s">
        <v>739</v>
      </c>
      <c r="E118" s="14" t="s">
        <v>240</v>
      </c>
      <c r="F118" s="14" t="s">
        <v>218</v>
      </c>
      <c r="G118" s="14" t="s">
        <v>349</v>
      </c>
      <c r="H118" s="14" t="s">
        <v>218</v>
      </c>
      <c r="I118" s="14" t="s">
        <v>101</v>
      </c>
      <c r="J118" s="14" t="s">
        <v>728</v>
      </c>
    </row>
    <row r="119" ht="15.75" customHeight="1">
      <c r="A119" s="14" t="s">
        <v>684</v>
      </c>
      <c r="B119" s="14" t="s">
        <v>69</v>
      </c>
      <c r="C119" s="14" t="s">
        <v>462</v>
      </c>
      <c r="D119" s="14" t="s">
        <v>740</v>
      </c>
      <c r="E119" s="14" t="s">
        <v>247</v>
      </c>
      <c r="F119" s="14" t="s">
        <v>218</v>
      </c>
      <c r="G119" s="14" t="s">
        <v>357</v>
      </c>
      <c r="H119" s="14" t="s">
        <v>268</v>
      </c>
      <c r="I119" s="14" t="s">
        <v>101</v>
      </c>
      <c r="J119" s="14" t="s">
        <v>730</v>
      </c>
    </row>
    <row r="120" ht="15.75" customHeight="1">
      <c r="A120" s="14" t="s">
        <v>684</v>
      </c>
      <c r="B120" s="14" t="s">
        <v>69</v>
      </c>
      <c r="C120" s="14" t="s">
        <v>462</v>
      </c>
      <c r="D120" s="14" t="s">
        <v>741</v>
      </c>
      <c r="E120" s="14" t="s">
        <v>260</v>
      </c>
      <c r="F120" s="14" t="s">
        <v>218</v>
      </c>
      <c r="G120" s="14" t="s">
        <v>365</v>
      </c>
      <c r="H120" s="14" t="s">
        <v>268</v>
      </c>
      <c r="I120" s="14" t="s">
        <v>101</v>
      </c>
      <c r="J120" s="14" t="s">
        <v>742</v>
      </c>
    </row>
    <row r="121" ht="15.75" customHeight="1">
      <c r="A121" s="34"/>
      <c r="B121" s="34"/>
      <c r="C121" s="34"/>
      <c r="D121" s="34"/>
      <c r="E121" s="34"/>
      <c r="F121" s="34"/>
      <c r="G121" s="34"/>
      <c r="H121" s="34"/>
      <c r="I121" s="34"/>
      <c r="J121" s="34"/>
    </row>
    <row r="122" ht="15.75" customHeight="1">
      <c r="A122" s="14" t="s">
        <v>684</v>
      </c>
      <c r="B122" s="14" t="s">
        <v>69</v>
      </c>
      <c r="C122" s="14" t="s">
        <v>464</v>
      </c>
      <c r="D122" s="14" t="s">
        <v>743</v>
      </c>
      <c r="E122" s="14" t="s">
        <v>195</v>
      </c>
      <c r="F122" s="14" t="s">
        <v>218</v>
      </c>
      <c r="G122" s="14" t="s">
        <v>289</v>
      </c>
      <c r="H122" s="14" t="s">
        <v>268</v>
      </c>
      <c r="I122" s="14" t="s">
        <v>101</v>
      </c>
      <c r="J122" s="14" t="s">
        <v>720</v>
      </c>
    </row>
    <row r="123" ht="15.75" customHeight="1">
      <c r="A123" s="14" t="s">
        <v>684</v>
      </c>
      <c r="B123" s="14" t="s">
        <v>69</v>
      </c>
      <c r="C123" s="14" t="s">
        <v>464</v>
      </c>
      <c r="D123" s="14" t="s">
        <v>744</v>
      </c>
      <c r="E123" s="14" t="s">
        <v>204</v>
      </c>
      <c r="F123" s="14" t="s">
        <v>218</v>
      </c>
      <c r="G123" s="14" t="s">
        <v>308</v>
      </c>
      <c r="H123" s="14" t="s">
        <v>218</v>
      </c>
      <c r="I123" s="14" t="s">
        <v>101</v>
      </c>
      <c r="J123" s="14" t="s">
        <v>745</v>
      </c>
    </row>
    <row r="124" ht="15.75" customHeight="1">
      <c r="A124" s="14" t="s">
        <v>684</v>
      </c>
      <c r="B124" s="14" t="s">
        <v>69</v>
      </c>
      <c r="C124" s="14" t="s">
        <v>464</v>
      </c>
      <c r="D124" s="14" t="s">
        <v>746</v>
      </c>
      <c r="E124" s="14" t="s">
        <v>217</v>
      </c>
      <c r="F124" s="14" t="s">
        <v>218</v>
      </c>
      <c r="G124" s="14" t="s">
        <v>326</v>
      </c>
      <c r="H124" s="14" t="s">
        <v>268</v>
      </c>
      <c r="I124" s="14" t="s">
        <v>101</v>
      </c>
      <c r="J124" s="14" t="s">
        <v>724</v>
      </c>
    </row>
    <row r="125" ht="15.75" customHeight="1">
      <c r="A125" s="14" t="s">
        <v>684</v>
      </c>
      <c r="B125" s="14" t="s">
        <v>69</v>
      </c>
      <c r="C125" s="14" t="s">
        <v>464</v>
      </c>
      <c r="D125" s="14" t="s">
        <v>747</v>
      </c>
      <c r="E125" s="14" t="s">
        <v>228</v>
      </c>
      <c r="F125" s="14" t="s">
        <v>218</v>
      </c>
      <c r="G125" s="14" t="s">
        <v>341</v>
      </c>
      <c r="H125" s="14" t="s">
        <v>268</v>
      </c>
      <c r="I125" s="14" t="s">
        <v>101</v>
      </c>
      <c r="J125" s="14" t="s">
        <v>726</v>
      </c>
    </row>
    <row r="126" ht="15.75" customHeight="1">
      <c r="A126" s="14" t="s">
        <v>684</v>
      </c>
      <c r="B126" s="14" t="s">
        <v>69</v>
      </c>
      <c r="C126" s="14" t="s">
        <v>464</v>
      </c>
      <c r="D126" s="14" t="s">
        <v>748</v>
      </c>
      <c r="E126" s="14" t="s">
        <v>240</v>
      </c>
      <c r="F126" s="14" t="s">
        <v>218</v>
      </c>
      <c r="G126" s="14" t="s">
        <v>349</v>
      </c>
      <c r="H126" s="14" t="s">
        <v>218</v>
      </c>
      <c r="I126" s="14" t="s">
        <v>101</v>
      </c>
      <c r="J126" s="14" t="s">
        <v>749</v>
      </c>
    </row>
    <row r="127" ht="15.75" customHeight="1">
      <c r="A127" s="14" t="s">
        <v>684</v>
      </c>
      <c r="B127" s="14" t="s">
        <v>69</v>
      </c>
      <c r="C127" s="14" t="s">
        <v>464</v>
      </c>
      <c r="D127" s="14" t="s">
        <v>750</v>
      </c>
      <c r="E127" s="14" t="s">
        <v>247</v>
      </c>
      <c r="F127" s="14" t="s">
        <v>218</v>
      </c>
      <c r="G127" s="14" t="s">
        <v>357</v>
      </c>
      <c r="H127" s="14" t="s">
        <v>268</v>
      </c>
      <c r="I127" s="14" t="s">
        <v>101</v>
      </c>
      <c r="J127" s="14" t="s">
        <v>730</v>
      </c>
    </row>
    <row r="128" ht="15.75" customHeight="1">
      <c r="A128" s="14" t="s">
        <v>684</v>
      </c>
      <c r="B128" s="14" t="s">
        <v>69</v>
      </c>
      <c r="C128" s="14" t="s">
        <v>464</v>
      </c>
      <c r="D128" s="14" t="s">
        <v>751</v>
      </c>
      <c r="E128" s="14" t="s">
        <v>260</v>
      </c>
      <c r="F128" s="14" t="s">
        <v>218</v>
      </c>
      <c r="G128" s="14" t="s">
        <v>365</v>
      </c>
      <c r="H128" s="14" t="s">
        <v>268</v>
      </c>
      <c r="I128" s="14" t="s">
        <v>101</v>
      </c>
      <c r="J128" s="14" t="s">
        <v>752</v>
      </c>
    </row>
    <row r="129" ht="15.75" customHeight="1">
      <c r="A129" s="34"/>
      <c r="B129" s="34"/>
      <c r="C129" s="34"/>
      <c r="D129" s="34"/>
      <c r="E129" s="34"/>
      <c r="F129" s="34"/>
      <c r="G129" s="34"/>
      <c r="H129" s="34"/>
      <c r="I129" s="34"/>
      <c r="J129" s="34"/>
    </row>
    <row r="130" ht="15.75" customHeight="1">
      <c r="A130" s="14" t="s">
        <v>684</v>
      </c>
      <c r="B130" s="14" t="s">
        <v>76</v>
      </c>
      <c r="C130" s="14" t="s">
        <v>458</v>
      </c>
      <c r="D130" s="14" t="s">
        <v>753</v>
      </c>
      <c r="E130" s="14" t="s">
        <v>273</v>
      </c>
      <c r="F130" s="14" t="s">
        <v>218</v>
      </c>
      <c r="G130" s="14" t="s">
        <v>373</v>
      </c>
      <c r="H130" s="14" t="s">
        <v>268</v>
      </c>
      <c r="I130" s="14" t="s">
        <v>101</v>
      </c>
      <c r="J130" s="14" t="s">
        <v>754</v>
      </c>
    </row>
    <row r="131" ht="15.75" customHeight="1">
      <c r="A131" s="14" t="s">
        <v>684</v>
      </c>
      <c r="B131" s="14" t="s">
        <v>76</v>
      </c>
      <c r="C131" s="14" t="s">
        <v>458</v>
      </c>
      <c r="D131" s="14" t="s">
        <v>755</v>
      </c>
      <c r="E131" s="14" t="s">
        <v>278</v>
      </c>
      <c r="F131" s="14" t="s">
        <v>218</v>
      </c>
      <c r="G131" s="14" t="s">
        <v>381</v>
      </c>
      <c r="H131" s="14" t="s">
        <v>268</v>
      </c>
      <c r="I131" s="14" t="s">
        <v>101</v>
      </c>
      <c r="J131" s="14" t="s">
        <v>756</v>
      </c>
    </row>
    <row r="132" ht="15.75" customHeight="1">
      <c r="A132" s="14" t="s">
        <v>684</v>
      </c>
      <c r="B132" s="14" t="s">
        <v>76</v>
      </c>
      <c r="C132" s="14" t="s">
        <v>458</v>
      </c>
      <c r="D132" s="14" t="s">
        <v>757</v>
      </c>
      <c r="E132" s="14" t="s">
        <v>283</v>
      </c>
      <c r="F132" s="14" t="s">
        <v>218</v>
      </c>
      <c r="G132" s="14" t="s">
        <v>388</v>
      </c>
      <c r="H132" s="14" t="s">
        <v>268</v>
      </c>
      <c r="I132" s="14" t="s">
        <v>101</v>
      </c>
      <c r="J132" s="14" t="s">
        <v>758</v>
      </c>
    </row>
    <row r="133" ht="15.75" customHeight="1">
      <c r="A133" s="14" t="s">
        <v>684</v>
      </c>
      <c r="B133" s="14" t="s">
        <v>76</v>
      </c>
      <c r="C133" s="14" t="s">
        <v>458</v>
      </c>
      <c r="D133" s="14" t="s">
        <v>759</v>
      </c>
      <c r="E133" s="14" t="s">
        <v>392</v>
      </c>
      <c r="F133" s="14" t="s">
        <v>218</v>
      </c>
      <c r="G133" s="14" t="s">
        <v>396</v>
      </c>
      <c r="H133" s="14" t="s">
        <v>268</v>
      </c>
      <c r="I133" s="14" t="s">
        <v>101</v>
      </c>
      <c r="J133" s="14" t="s">
        <v>760</v>
      </c>
    </row>
    <row r="134" ht="15.75" customHeight="1">
      <c r="A134" s="14" t="s">
        <v>684</v>
      </c>
      <c r="B134" s="14" t="s">
        <v>76</v>
      </c>
      <c r="C134" s="14" t="s">
        <v>458</v>
      </c>
      <c r="D134" s="14" t="s">
        <v>761</v>
      </c>
      <c r="E134" s="14" t="s">
        <v>306</v>
      </c>
      <c r="F134" s="14" t="s">
        <v>218</v>
      </c>
      <c r="G134" s="14" t="s">
        <v>405</v>
      </c>
      <c r="H134" s="14" t="s">
        <v>268</v>
      </c>
      <c r="I134" s="14" t="s">
        <v>101</v>
      </c>
      <c r="J134" s="14" t="s">
        <v>762</v>
      </c>
    </row>
    <row r="135" ht="15.75" customHeight="1">
      <c r="A135" s="14" t="s">
        <v>684</v>
      </c>
      <c r="B135" s="14" t="s">
        <v>76</v>
      </c>
      <c r="C135" s="14" t="s">
        <v>458</v>
      </c>
      <c r="D135" s="14" t="s">
        <v>763</v>
      </c>
      <c r="E135" s="14" t="s">
        <v>411</v>
      </c>
      <c r="F135" s="14" t="s">
        <v>218</v>
      </c>
      <c r="G135" s="14" t="s">
        <v>396</v>
      </c>
      <c r="H135" s="14" t="s">
        <v>268</v>
      </c>
      <c r="I135" s="14" t="s">
        <v>101</v>
      </c>
      <c r="J135" s="14" t="s">
        <v>764</v>
      </c>
    </row>
    <row r="136" ht="15.75" customHeight="1">
      <c r="A136" s="14" t="s">
        <v>684</v>
      </c>
      <c r="B136" s="14" t="s">
        <v>76</v>
      </c>
      <c r="C136" s="14" t="s">
        <v>458</v>
      </c>
      <c r="D136" s="14" t="s">
        <v>765</v>
      </c>
      <c r="E136" s="14" t="s">
        <v>415</v>
      </c>
      <c r="F136" s="14" t="s">
        <v>218</v>
      </c>
      <c r="G136" s="14" t="s">
        <v>419</v>
      </c>
      <c r="H136" s="14" t="s">
        <v>268</v>
      </c>
      <c r="I136" s="14" t="s">
        <v>101</v>
      </c>
      <c r="J136" s="14" t="s">
        <v>766</v>
      </c>
    </row>
    <row r="137" ht="15.75" customHeight="1">
      <c r="A137" s="14" t="s">
        <v>684</v>
      </c>
      <c r="B137" s="14" t="s">
        <v>76</v>
      </c>
      <c r="C137" s="14" t="s">
        <v>458</v>
      </c>
      <c r="D137" s="14" t="s">
        <v>767</v>
      </c>
      <c r="E137" s="14" t="s">
        <v>425</v>
      </c>
      <c r="F137" s="14" t="s">
        <v>218</v>
      </c>
      <c r="G137" s="14" t="s">
        <v>419</v>
      </c>
      <c r="H137" s="14" t="s">
        <v>268</v>
      </c>
      <c r="I137" s="14" t="s">
        <v>101</v>
      </c>
      <c r="J137" s="14" t="s">
        <v>768</v>
      </c>
    </row>
    <row r="138" ht="15.75" customHeight="1">
      <c r="A138" s="14" t="s">
        <v>684</v>
      </c>
      <c r="B138" s="14" t="s">
        <v>76</v>
      </c>
      <c r="C138" s="14" t="s">
        <v>458</v>
      </c>
      <c r="D138" s="14" t="s">
        <v>769</v>
      </c>
      <c r="E138" s="14" t="s">
        <v>329</v>
      </c>
      <c r="F138" s="14" t="s">
        <v>218</v>
      </c>
      <c r="G138" s="14" t="s">
        <v>432</v>
      </c>
      <c r="H138" s="14" t="s">
        <v>268</v>
      </c>
      <c r="I138" s="14" t="s">
        <v>101</v>
      </c>
      <c r="J138" s="14" t="s">
        <v>770</v>
      </c>
    </row>
    <row r="139" ht="15.75" customHeight="1">
      <c r="A139" s="14" t="s">
        <v>684</v>
      </c>
      <c r="B139" s="14" t="s">
        <v>76</v>
      </c>
      <c r="C139" s="14" t="s">
        <v>458</v>
      </c>
      <c r="D139" s="14" t="s">
        <v>771</v>
      </c>
      <c r="E139" s="14" t="s">
        <v>337</v>
      </c>
      <c r="F139" s="14" t="s">
        <v>218</v>
      </c>
      <c r="G139" s="14" t="s">
        <v>441</v>
      </c>
      <c r="H139" s="14" t="s">
        <v>268</v>
      </c>
      <c r="I139" s="14" t="s">
        <v>101</v>
      </c>
      <c r="J139" s="14" t="s">
        <v>772</v>
      </c>
    </row>
    <row r="140" ht="15.75" customHeight="1">
      <c r="A140" s="34"/>
      <c r="B140" s="34"/>
      <c r="C140" s="34"/>
      <c r="D140" s="34"/>
      <c r="E140" s="34"/>
      <c r="F140" s="34"/>
      <c r="G140" s="34"/>
      <c r="H140" s="34"/>
      <c r="I140" s="34"/>
      <c r="J140" s="34"/>
    </row>
    <row r="141" ht="15.75" customHeight="1">
      <c r="A141" s="14" t="s">
        <v>684</v>
      </c>
      <c r="B141" s="14" t="s">
        <v>76</v>
      </c>
      <c r="C141" s="14" t="s">
        <v>462</v>
      </c>
      <c r="D141" s="14" t="s">
        <v>773</v>
      </c>
      <c r="E141" s="14" t="s">
        <v>273</v>
      </c>
      <c r="F141" s="14" t="s">
        <v>218</v>
      </c>
      <c r="G141" s="14" t="s">
        <v>373</v>
      </c>
      <c r="H141" s="14" t="s">
        <v>268</v>
      </c>
      <c r="I141" s="14" t="s">
        <v>101</v>
      </c>
      <c r="J141" s="14" t="s">
        <v>754</v>
      </c>
    </row>
    <row r="142" ht="15.75" customHeight="1">
      <c r="A142" s="14" t="s">
        <v>684</v>
      </c>
      <c r="B142" s="14" t="s">
        <v>76</v>
      </c>
      <c r="C142" s="14" t="s">
        <v>462</v>
      </c>
      <c r="D142" s="14" t="s">
        <v>774</v>
      </c>
      <c r="E142" s="14" t="s">
        <v>278</v>
      </c>
      <c r="F142" s="14" t="s">
        <v>218</v>
      </c>
      <c r="G142" s="14" t="s">
        <v>381</v>
      </c>
      <c r="H142" s="14" t="s">
        <v>268</v>
      </c>
      <c r="I142" s="14" t="s">
        <v>101</v>
      </c>
      <c r="J142" s="14" t="s">
        <v>756</v>
      </c>
    </row>
    <row r="143" ht="15.75" customHeight="1">
      <c r="A143" s="14" t="s">
        <v>684</v>
      </c>
      <c r="B143" s="14" t="s">
        <v>76</v>
      </c>
      <c r="C143" s="14" t="s">
        <v>462</v>
      </c>
      <c r="D143" s="14" t="s">
        <v>775</v>
      </c>
      <c r="E143" s="14" t="s">
        <v>283</v>
      </c>
      <c r="F143" s="14" t="s">
        <v>218</v>
      </c>
      <c r="G143" s="14" t="s">
        <v>388</v>
      </c>
      <c r="H143" s="14" t="s">
        <v>268</v>
      </c>
      <c r="I143" s="14" t="s">
        <v>101</v>
      </c>
      <c r="J143" s="14" t="s">
        <v>758</v>
      </c>
    </row>
    <row r="144" ht="15.75" customHeight="1">
      <c r="A144" s="14" t="s">
        <v>684</v>
      </c>
      <c r="B144" s="14" t="s">
        <v>76</v>
      </c>
      <c r="C144" s="14" t="s">
        <v>462</v>
      </c>
      <c r="D144" s="14" t="s">
        <v>776</v>
      </c>
      <c r="E144" s="14" t="s">
        <v>392</v>
      </c>
      <c r="F144" s="14" t="s">
        <v>218</v>
      </c>
      <c r="G144" s="14" t="s">
        <v>396</v>
      </c>
      <c r="H144" s="14" t="s">
        <v>268</v>
      </c>
      <c r="I144" s="14" t="s">
        <v>101</v>
      </c>
      <c r="J144" s="14" t="s">
        <v>760</v>
      </c>
    </row>
    <row r="145" ht="15.75" customHeight="1">
      <c r="A145" s="14" t="s">
        <v>684</v>
      </c>
      <c r="B145" s="14" t="s">
        <v>76</v>
      </c>
      <c r="C145" s="14" t="s">
        <v>462</v>
      </c>
      <c r="D145" s="14" t="s">
        <v>777</v>
      </c>
      <c r="E145" s="14" t="s">
        <v>306</v>
      </c>
      <c r="F145" s="14" t="s">
        <v>218</v>
      </c>
      <c r="G145" s="14" t="s">
        <v>405</v>
      </c>
      <c r="H145" s="14" t="s">
        <v>268</v>
      </c>
      <c r="I145" s="14" t="s">
        <v>101</v>
      </c>
      <c r="J145" s="14" t="s">
        <v>762</v>
      </c>
    </row>
    <row r="146" ht="15.75" customHeight="1">
      <c r="A146" s="14" t="s">
        <v>684</v>
      </c>
      <c r="B146" s="14" t="s">
        <v>76</v>
      </c>
      <c r="C146" s="14" t="s">
        <v>462</v>
      </c>
      <c r="D146" s="14" t="s">
        <v>778</v>
      </c>
      <c r="E146" s="14" t="s">
        <v>411</v>
      </c>
      <c r="F146" s="14" t="s">
        <v>218</v>
      </c>
      <c r="G146" s="14" t="s">
        <v>396</v>
      </c>
      <c r="H146" s="14" t="s">
        <v>268</v>
      </c>
      <c r="I146" s="14" t="s">
        <v>101</v>
      </c>
      <c r="J146" s="14" t="s">
        <v>779</v>
      </c>
    </row>
    <row r="147" ht="15.75" customHeight="1">
      <c r="A147" s="14" t="s">
        <v>684</v>
      </c>
      <c r="B147" s="14" t="s">
        <v>76</v>
      </c>
      <c r="C147" s="14" t="s">
        <v>462</v>
      </c>
      <c r="D147" s="14" t="s">
        <v>781</v>
      </c>
      <c r="E147" s="14" t="s">
        <v>415</v>
      </c>
      <c r="F147" s="14" t="s">
        <v>218</v>
      </c>
      <c r="G147" s="14" t="s">
        <v>419</v>
      </c>
      <c r="H147" s="14" t="s">
        <v>268</v>
      </c>
      <c r="I147" s="14" t="s">
        <v>101</v>
      </c>
      <c r="J147" s="14" t="s">
        <v>766</v>
      </c>
    </row>
    <row r="148" ht="15.75" customHeight="1">
      <c r="A148" s="14" t="s">
        <v>684</v>
      </c>
      <c r="B148" s="14" t="s">
        <v>76</v>
      </c>
      <c r="C148" s="14" t="s">
        <v>462</v>
      </c>
      <c r="D148" s="14" t="s">
        <v>783</v>
      </c>
      <c r="E148" s="14" t="s">
        <v>425</v>
      </c>
      <c r="F148" s="14" t="s">
        <v>218</v>
      </c>
      <c r="G148" s="14" t="s">
        <v>419</v>
      </c>
      <c r="H148" s="14" t="s">
        <v>268</v>
      </c>
      <c r="I148" s="14" t="s">
        <v>101</v>
      </c>
      <c r="J148" s="14" t="s">
        <v>768</v>
      </c>
    </row>
    <row r="149" ht="15.75" customHeight="1">
      <c r="A149" s="14" t="s">
        <v>684</v>
      </c>
      <c r="B149" s="14" t="s">
        <v>76</v>
      </c>
      <c r="C149" s="14" t="s">
        <v>462</v>
      </c>
      <c r="D149" s="14" t="s">
        <v>787</v>
      </c>
      <c r="E149" s="14" t="s">
        <v>329</v>
      </c>
      <c r="F149" s="14" t="s">
        <v>218</v>
      </c>
      <c r="G149" s="14" t="s">
        <v>432</v>
      </c>
      <c r="H149" s="14" t="s">
        <v>268</v>
      </c>
      <c r="I149" s="14" t="s">
        <v>101</v>
      </c>
      <c r="J149" s="14" t="s">
        <v>770</v>
      </c>
    </row>
    <row r="150" ht="15.75" customHeight="1">
      <c r="A150" s="14" t="s">
        <v>684</v>
      </c>
      <c r="B150" s="14" t="s">
        <v>76</v>
      </c>
      <c r="C150" s="14" t="s">
        <v>462</v>
      </c>
      <c r="D150" s="14" t="s">
        <v>792</v>
      </c>
      <c r="E150" s="14" t="s">
        <v>337</v>
      </c>
      <c r="F150" s="14" t="s">
        <v>218</v>
      </c>
      <c r="G150" s="14" t="s">
        <v>441</v>
      </c>
      <c r="H150" s="14" t="s">
        <v>268</v>
      </c>
      <c r="I150" s="14" t="s">
        <v>101</v>
      </c>
      <c r="J150" s="14" t="s">
        <v>793</v>
      </c>
    </row>
    <row r="151" ht="15.75" customHeight="1">
      <c r="A151" s="34"/>
      <c r="B151" s="34"/>
      <c r="C151" s="34"/>
      <c r="D151" s="34"/>
      <c r="E151" s="34"/>
      <c r="F151" s="34"/>
      <c r="G151" s="34"/>
      <c r="H151" s="34"/>
      <c r="I151" s="34"/>
      <c r="J151" s="34"/>
    </row>
    <row r="152" ht="15.75" customHeight="1">
      <c r="A152" s="14" t="s">
        <v>684</v>
      </c>
      <c r="B152" s="14" t="s">
        <v>76</v>
      </c>
      <c r="C152" s="14" t="s">
        <v>464</v>
      </c>
      <c r="D152" s="14" t="s">
        <v>794</v>
      </c>
      <c r="E152" s="14" t="s">
        <v>273</v>
      </c>
      <c r="F152" s="14" t="s">
        <v>218</v>
      </c>
      <c r="G152" s="14" t="s">
        <v>373</v>
      </c>
      <c r="H152" s="14" t="s">
        <v>268</v>
      </c>
      <c r="I152" s="14" t="s">
        <v>101</v>
      </c>
      <c r="J152" s="14" t="s">
        <v>754</v>
      </c>
    </row>
    <row r="153" ht="15.75" customHeight="1">
      <c r="A153" s="14" t="s">
        <v>684</v>
      </c>
      <c r="B153" s="14" t="s">
        <v>76</v>
      </c>
      <c r="C153" s="14" t="s">
        <v>464</v>
      </c>
      <c r="D153" s="14" t="s">
        <v>797</v>
      </c>
      <c r="E153" s="14" t="s">
        <v>278</v>
      </c>
      <c r="F153" s="14" t="s">
        <v>218</v>
      </c>
      <c r="G153" s="14" t="s">
        <v>381</v>
      </c>
      <c r="H153" s="14" t="s">
        <v>268</v>
      </c>
      <c r="I153" s="14" t="s">
        <v>101</v>
      </c>
      <c r="J153" s="14" t="s">
        <v>756</v>
      </c>
    </row>
    <row r="154" ht="15.75" customHeight="1">
      <c r="A154" s="14" t="s">
        <v>684</v>
      </c>
      <c r="B154" s="14" t="s">
        <v>76</v>
      </c>
      <c r="C154" s="14" t="s">
        <v>464</v>
      </c>
      <c r="D154" s="14" t="s">
        <v>798</v>
      </c>
      <c r="E154" s="14" t="s">
        <v>283</v>
      </c>
      <c r="F154" s="14" t="s">
        <v>218</v>
      </c>
      <c r="G154" s="14" t="s">
        <v>388</v>
      </c>
      <c r="H154" s="14" t="s">
        <v>268</v>
      </c>
      <c r="I154" s="14" t="s">
        <v>101</v>
      </c>
      <c r="J154" s="14" t="s">
        <v>758</v>
      </c>
    </row>
    <row r="155" ht="15.75" customHeight="1">
      <c r="A155" s="14" t="s">
        <v>684</v>
      </c>
      <c r="B155" s="14" t="s">
        <v>76</v>
      </c>
      <c r="C155" s="14" t="s">
        <v>464</v>
      </c>
      <c r="D155" s="14" t="s">
        <v>800</v>
      </c>
      <c r="E155" s="14" t="s">
        <v>392</v>
      </c>
      <c r="F155" s="14" t="s">
        <v>218</v>
      </c>
      <c r="G155" s="14" t="s">
        <v>396</v>
      </c>
      <c r="H155" s="14" t="s">
        <v>268</v>
      </c>
      <c r="I155" s="14" t="s">
        <v>101</v>
      </c>
      <c r="J155" s="14" t="s">
        <v>760</v>
      </c>
    </row>
    <row r="156" ht="15.75" customHeight="1">
      <c r="A156" s="14" t="s">
        <v>684</v>
      </c>
      <c r="B156" s="14" t="s">
        <v>76</v>
      </c>
      <c r="C156" s="14" t="s">
        <v>464</v>
      </c>
      <c r="D156" s="14" t="s">
        <v>803</v>
      </c>
      <c r="E156" s="14" t="s">
        <v>306</v>
      </c>
      <c r="F156" s="14" t="s">
        <v>218</v>
      </c>
      <c r="G156" s="14" t="s">
        <v>405</v>
      </c>
      <c r="H156" s="14" t="s">
        <v>268</v>
      </c>
      <c r="I156" s="14" t="s">
        <v>101</v>
      </c>
      <c r="J156" s="14" t="s">
        <v>762</v>
      </c>
    </row>
    <row r="157" ht="15.75" customHeight="1">
      <c r="A157" s="14" t="s">
        <v>684</v>
      </c>
      <c r="B157" s="14" t="s">
        <v>76</v>
      </c>
      <c r="C157" s="14" t="s">
        <v>464</v>
      </c>
      <c r="D157" s="14" t="s">
        <v>804</v>
      </c>
      <c r="E157" s="14" t="s">
        <v>411</v>
      </c>
      <c r="F157" s="14" t="s">
        <v>218</v>
      </c>
      <c r="G157" s="14" t="s">
        <v>396</v>
      </c>
      <c r="H157" s="14" t="s">
        <v>268</v>
      </c>
      <c r="I157" s="14" t="s">
        <v>101</v>
      </c>
      <c r="J157" s="14" t="s">
        <v>764</v>
      </c>
    </row>
    <row r="158" ht="15.75" customHeight="1">
      <c r="A158" s="14" t="s">
        <v>684</v>
      </c>
      <c r="B158" s="14" t="s">
        <v>76</v>
      </c>
      <c r="C158" s="14" t="s">
        <v>464</v>
      </c>
      <c r="D158" s="14" t="s">
        <v>807</v>
      </c>
      <c r="E158" s="14" t="s">
        <v>415</v>
      </c>
      <c r="F158" s="14" t="s">
        <v>218</v>
      </c>
      <c r="G158" s="14" t="s">
        <v>419</v>
      </c>
      <c r="H158" s="14" t="s">
        <v>268</v>
      </c>
      <c r="I158" s="14" t="s">
        <v>101</v>
      </c>
      <c r="J158" s="14" t="s">
        <v>766</v>
      </c>
    </row>
    <row r="159" ht="15.75" customHeight="1">
      <c r="A159" s="14" t="s">
        <v>684</v>
      </c>
      <c r="B159" s="14" t="s">
        <v>76</v>
      </c>
      <c r="C159" s="14" t="s">
        <v>464</v>
      </c>
      <c r="D159" s="14" t="s">
        <v>810</v>
      </c>
      <c r="E159" s="14" t="s">
        <v>425</v>
      </c>
      <c r="F159" s="14" t="s">
        <v>218</v>
      </c>
      <c r="G159" s="14" t="s">
        <v>419</v>
      </c>
      <c r="H159" s="14" t="s">
        <v>268</v>
      </c>
      <c r="I159" s="14" t="s">
        <v>101</v>
      </c>
      <c r="J159" s="14" t="s">
        <v>768</v>
      </c>
    </row>
    <row r="160" ht="15.75" customHeight="1">
      <c r="A160" s="14" t="s">
        <v>684</v>
      </c>
      <c r="B160" s="14" t="s">
        <v>76</v>
      </c>
      <c r="C160" s="14" t="s">
        <v>464</v>
      </c>
      <c r="D160" s="14" t="s">
        <v>811</v>
      </c>
      <c r="E160" s="14" t="s">
        <v>329</v>
      </c>
      <c r="F160" s="14" t="s">
        <v>218</v>
      </c>
      <c r="G160" s="14" t="s">
        <v>432</v>
      </c>
      <c r="H160" s="14" t="s">
        <v>268</v>
      </c>
      <c r="I160" s="14" t="s">
        <v>101</v>
      </c>
      <c r="J160" s="14" t="s">
        <v>770</v>
      </c>
    </row>
    <row r="161" ht="15.75" customHeight="1">
      <c r="A161" s="14" t="s">
        <v>684</v>
      </c>
      <c r="B161" s="14" t="s">
        <v>76</v>
      </c>
      <c r="C161" s="14" t="s">
        <v>464</v>
      </c>
      <c r="D161" s="14" t="s">
        <v>814</v>
      </c>
      <c r="E161" s="14" t="s">
        <v>337</v>
      </c>
      <c r="F161" s="14" t="s">
        <v>218</v>
      </c>
      <c r="G161" s="14" t="s">
        <v>441</v>
      </c>
      <c r="H161" s="14" t="s">
        <v>268</v>
      </c>
      <c r="I161" s="14" t="s">
        <v>101</v>
      </c>
      <c r="J161" s="14" t="s">
        <v>793</v>
      </c>
    </row>
    <row r="162" ht="15.75" customHeight="1">
      <c r="A162" s="43"/>
      <c r="B162" s="43"/>
      <c r="C162" s="43"/>
      <c r="D162" s="43"/>
      <c r="E162" s="43"/>
      <c r="F162" s="43"/>
      <c r="G162" s="43"/>
      <c r="H162" s="43"/>
      <c r="I162" s="43"/>
      <c r="J162" s="43"/>
    </row>
    <row r="163" ht="15.75" customHeight="1">
      <c r="A163" s="14" t="s">
        <v>815</v>
      </c>
      <c r="B163" s="14" t="s">
        <v>25</v>
      </c>
      <c r="C163" s="14" t="s">
        <v>458</v>
      </c>
      <c r="D163" s="14" t="s">
        <v>816</v>
      </c>
      <c r="E163" s="14" t="s">
        <v>75</v>
      </c>
      <c r="F163" s="14" t="s">
        <v>218</v>
      </c>
      <c r="G163" s="14" t="s">
        <v>90</v>
      </c>
      <c r="H163" s="14" t="s">
        <v>268</v>
      </c>
      <c r="I163" s="14" t="s">
        <v>101</v>
      </c>
      <c r="J163" s="14" t="s">
        <v>818</v>
      </c>
    </row>
    <row r="164" ht="15.75" customHeight="1">
      <c r="A164" s="14" t="s">
        <v>815</v>
      </c>
      <c r="B164" s="14" t="s">
        <v>25</v>
      </c>
      <c r="C164" s="14" t="s">
        <v>458</v>
      </c>
      <c r="D164" s="14" t="s">
        <v>820</v>
      </c>
      <c r="E164" s="14" t="s">
        <v>100</v>
      </c>
      <c r="F164" s="14" t="s">
        <v>218</v>
      </c>
      <c r="G164" s="14" t="s">
        <v>143</v>
      </c>
      <c r="H164" s="14" t="s">
        <v>268</v>
      </c>
      <c r="I164" s="14" t="s">
        <v>101</v>
      </c>
      <c r="J164" s="14" t="s">
        <v>821</v>
      </c>
    </row>
    <row r="165" ht="15.75" customHeight="1">
      <c r="A165" s="14" t="s">
        <v>815</v>
      </c>
      <c r="B165" s="14" t="s">
        <v>25</v>
      </c>
      <c r="C165" s="14" t="s">
        <v>458</v>
      </c>
      <c r="D165" s="14" t="s">
        <v>822</v>
      </c>
      <c r="E165" s="14" t="s">
        <v>118</v>
      </c>
      <c r="F165" s="14" t="s">
        <v>218</v>
      </c>
      <c r="G165" s="14" t="s">
        <v>172</v>
      </c>
      <c r="H165" s="14" t="s">
        <v>268</v>
      </c>
      <c r="I165" s="14" t="s">
        <v>101</v>
      </c>
      <c r="J165" s="14" t="s">
        <v>823</v>
      </c>
    </row>
    <row r="166" ht="15.75" customHeight="1">
      <c r="A166" s="14" t="s">
        <v>815</v>
      </c>
      <c r="B166" s="14" t="s">
        <v>25</v>
      </c>
      <c r="C166" s="14" t="s">
        <v>458</v>
      </c>
      <c r="D166" s="14" t="s">
        <v>824</v>
      </c>
      <c r="E166" s="14" t="s">
        <v>118</v>
      </c>
      <c r="F166" s="14" t="s">
        <v>218</v>
      </c>
      <c r="G166" s="14" t="s">
        <v>191</v>
      </c>
      <c r="H166" s="14" t="s">
        <v>268</v>
      </c>
      <c r="I166" s="14" t="s">
        <v>101</v>
      </c>
      <c r="J166" s="14" t="s">
        <v>825</v>
      </c>
    </row>
    <row r="167" ht="15.75" customHeight="1">
      <c r="A167" s="14" t="s">
        <v>815</v>
      </c>
      <c r="B167" s="14" t="s">
        <v>25</v>
      </c>
      <c r="C167" s="14" t="s">
        <v>458</v>
      </c>
      <c r="D167" s="14" t="s">
        <v>826</v>
      </c>
      <c r="E167" s="14" t="s">
        <v>149</v>
      </c>
      <c r="F167" s="14" t="s">
        <v>218</v>
      </c>
      <c r="G167" s="14" t="s">
        <v>214</v>
      </c>
      <c r="H167" s="14" t="s">
        <v>218</v>
      </c>
      <c r="I167" s="14" t="s">
        <v>101</v>
      </c>
      <c r="J167" s="14" t="s">
        <v>827</v>
      </c>
    </row>
    <row r="168" ht="15.75" customHeight="1">
      <c r="A168" s="14" t="s">
        <v>815</v>
      </c>
      <c r="B168" s="14" t="s">
        <v>25</v>
      </c>
      <c r="C168" s="14" t="s">
        <v>458</v>
      </c>
      <c r="D168" s="14" t="s">
        <v>828</v>
      </c>
      <c r="E168" s="14" t="s">
        <v>229</v>
      </c>
      <c r="F168" s="14" t="s">
        <v>218</v>
      </c>
      <c r="G168" s="14" t="s">
        <v>235</v>
      </c>
      <c r="H168" s="14" t="s">
        <v>268</v>
      </c>
      <c r="I168" s="14" t="s">
        <v>101</v>
      </c>
      <c r="J168" s="14" t="s">
        <v>829</v>
      </c>
    </row>
    <row r="169" ht="15.75" customHeight="1">
      <c r="A169" s="14" t="s">
        <v>815</v>
      </c>
      <c r="B169" s="14" t="s">
        <v>25</v>
      </c>
      <c r="C169" s="14" t="s">
        <v>458</v>
      </c>
      <c r="D169" s="14" t="s">
        <v>828</v>
      </c>
      <c r="E169" s="14" t="s">
        <v>255</v>
      </c>
      <c r="F169" s="14" t="s">
        <v>218</v>
      </c>
      <c r="G169" s="14" t="s">
        <v>235</v>
      </c>
      <c r="H169" s="14" t="s">
        <v>268</v>
      </c>
      <c r="I169" s="14" t="s">
        <v>101</v>
      </c>
      <c r="J169" s="14" t="s">
        <v>831</v>
      </c>
    </row>
    <row r="170" ht="15.75" customHeight="1">
      <c r="A170" s="34"/>
      <c r="B170" s="34"/>
      <c r="C170" s="34"/>
      <c r="D170" s="34"/>
      <c r="E170" s="34"/>
      <c r="F170" s="34"/>
      <c r="G170" s="34"/>
      <c r="H170" s="34"/>
      <c r="I170" s="34"/>
      <c r="J170" s="34"/>
    </row>
    <row r="171" ht="15.75" customHeight="1">
      <c r="A171" s="14" t="s">
        <v>815</v>
      </c>
      <c r="B171" s="14" t="s">
        <v>25</v>
      </c>
      <c r="C171" s="14" t="s">
        <v>462</v>
      </c>
      <c r="D171" s="14" t="s">
        <v>832</v>
      </c>
      <c r="E171" s="14" t="s">
        <v>75</v>
      </c>
      <c r="F171" s="14" t="s">
        <v>218</v>
      </c>
      <c r="G171" s="14" t="s">
        <v>90</v>
      </c>
      <c r="H171" s="14" t="s">
        <v>268</v>
      </c>
      <c r="I171" s="14" t="s">
        <v>101</v>
      </c>
      <c r="J171" s="14" t="s">
        <v>833</v>
      </c>
    </row>
    <row r="172" ht="15.75" customHeight="1">
      <c r="A172" s="14" t="s">
        <v>815</v>
      </c>
      <c r="B172" s="14" t="s">
        <v>25</v>
      </c>
      <c r="C172" s="14" t="s">
        <v>462</v>
      </c>
      <c r="D172" s="14" t="s">
        <v>835</v>
      </c>
      <c r="E172" s="14" t="s">
        <v>100</v>
      </c>
      <c r="F172" s="14" t="s">
        <v>218</v>
      </c>
      <c r="G172" s="14" t="s">
        <v>143</v>
      </c>
      <c r="H172" s="14" t="s">
        <v>268</v>
      </c>
      <c r="I172" s="14" t="s">
        <v>101</v>
      </c>
      <c r="J172" s="14" t="s">
        <v>836</v>
      </c>
    </row>
    <row r="173" ht="15.75" customHeight="1">
      <c r="A173" s="14" t="s">
        <v>815</v>
      </c>
      <c r="B173" s="14" t="s">
        <v>25</v>
      </c>
      <c r="C173" s="14" t="s">
        <v>462</v>
      </c>
      <c r="D173" s="14" t="s">
        <v>837</v>
      </c>
      <c r="E173" s="14" t="s">
        <v>118</v>
      </c>
      <c r="F173" s="14" t="s">
        <v>218</v>
      </c>
      <c r="G173" s="14" t="s">
        <v>172</v>
      </c>
      <c r="H173" s="14" t="s">
        <v>268</v>
      </c>
      <c r="I173" s="14" t="s">
        <v>101</v>
      </c>
      <c r="J173" s="14" t="s">
        <v>823</v>
      </c>
    </row>
    <row r="174" ht="15.75" customHeight="1">
      <c r="A174" s="14" t="s">
        <v>815</v>
      </c>
      <c r="B174" s="14" t="s">
        <v>25</v>
      </c>
      <c r="C174" s="14" t="s">
        <v>462</v>
      </c>
      <c r="D174" s="14" t="s">
        <v>840</v>
      </c>
      <c r="E174" s="14" t="s">
        <v>118</v>
      </c>
      <c r="F174" s="14" t="s">
        <v>218</v>
      </c>
      <c r="G174" s="14" t="s">
        <v>191</v>
      </c>
      <c r="H174" s="14" t="s">
        <v>268</v>
      </c>
      <c r="I174" s="14" t="s">
        <v>101</v>
      </c>
      <c r="J174" s="14" t="s">
        <v>825</v>
      </c>
    </row>
    <row r="175" ht="15.75" customHeight="1">
      <c r="A175" s="14" t="s">
        <v>815</v>
      </c>
      <c r="B175" s="14" t="s">
        <v>25</v>
      </c>
      <c r="C175" s="14" t="s">
        <v>462</v>
      </c>
      <c r="D175" s="14" t="s">
        <v>841</v>
      </c>
      <c r="E175" s="14" t="s">
        <v>149</v>
      </c>
      <c r="F175" s="14" t="s">
        <v>218</v>
      </c>
      <c r="G175" s="14" t="s">
        <v>214</v>
      </c>
      <c r="H175" s="14" t="s">
        <v>218</v>
      </c>
      <c r="I175" s="14" t="s">
        <v>101</v>
      </c>
      <c r="J175" s="14" t="s">
        <v>827</v>
      </c>
    </row>
    <row r="176" ht="15.75" customHeight="1">
      <c r="A176" s="14" t="s">
        <v>815</v>
      </c>
      <c r="B176" s="14" t="s">
        <v>25</v>
      </c>
      <c r="C176" s="14" t="s">
        <v>462</v>
      </c>
      <c r="D176" s="14" t="s">
        <v>843</v>
      </c>
      <c r="E176" s="14" t="s">
        <v>229</v>
      </c>
      <c r="F176" s="14" t="s">
        <v>218</v>
      </c>
      <c r="G176" s="14" t="s">
        <v>235</v>
      </c>
      <c r="H176" s="14" t="s">
        <v>268</v>
      </c>
      <c r="I176" s="14" t="s">
        <v>101</v>
      </c>
      <c r="J176" s="14" t="s">
        <v>829</v>
      </c>
    </row>
    <row r="177" ht="15.75" customHeight="1">
      <c r="A177" s="14" t="s">
        <v>815</v>
      </c>
      <c r="B177" s="14" t="s">
        <v>25</v>
      </c>
      <c r="C177" s="14" t="s">
        <v>462</v>
      </c>
      <c r="D177" s="14" t="s">
        <v>843</v>
      </c>
      <c r="E177" s="14" t="s">
        <v>255</v>
      </c>
      <c r="F177" s="14" t="s">
        <v>218</v>
      </c>
      <c r="G177" s="14" t="s">
        <v>235</v>
      </c>
      <c r="H177" s="14" t="s">
        <v>268</v>
      </c>
      <c r="I177" s="14" t="s">
        <v>101</v>
      </c>
      <c r="J177" s="14" t="s">
        <v>831</v>
      </c>
    </row>
    <row r="178" ht="15.75" customHeight="1">
      <c r="A178" s="34"/>
      <c r="B178" s="34"/>
      <c r="C178" s="34"/>
      <c r="D178" s="34"/>
      <c r="E178" s="34"/>
      <c r="F178" s="34"/>
      <c r="G178" s="34"/>
      <c r="H178" s="34"/>
      <c r="I178" s="34"/>
      <c r="J178" s="34"/>
    </row>
    <row r="179" ht="15.75" customHeight="1">
      <c r="A179" s="14" t="s">
        <v>815</v>
      </c>
      <c r="B179" s="14" t="s">
        <v>25</v>
      </c>
      <c r="C179" s="14" t="s">
        <v>464</v>
      </c>
      <c r="D179" s="14" t="s">
        <v>845</v>
      </c>
      <c r="E179" s="14" t="s">
        <v>75</v>
      </c>
      <c r="F179" s="14" t="s">
        <v>218</v>
      </c>
      <c r="G179" s="14" t="s">
        <v>90</v>
      </c>
      <c r="H179" s="16" t="s">
        <v>268</v>
      </c>
      <c r="I179" s="14" t="s">
        <v>101</v>
      </c>
      <c r="J179" s="14" t="s">
        <v>818</v>
      </c>
    </row>
    <row r="180" ht="15.75" customHeight="1">
      <c r="A180" s="14" t="s">
        <v>815</v>
      </c>
      <c r="B180" s="14" t="s">
        <v>25</v>
      </c>
      <c r="C180" s="14" t="s">
        <v>464</v>
      </c>
      <c r="D180" s="14" t="s">
        <v>847</v>
      </c>
      <c r="E180" s="14" t="s">
        <v>100</v>
      </c>
      <c r="F180" s="14" t="s">
        <v>218</v>
      </c>
      <c r="G180" s="14" t="s">
        <v>143</v>
      </c>
      <c r="H180" s="16" t="s">
        <v>268</v>
      </c>
      <c r="I180" s="14" t="s">
        <v>101</v>
      </c>
      <c r="J180" s="14" t="s">
        <v>821</v>
      </c>
    </row>
    <row r="181" ht="15.75" customHeight="1">
      <c r="A181" s="14" t="s">
        <v>815</v>
      </c>
      <c r="B181" s="14" t="s">
        <v>25</v>
      </c>
      <c r="C181" s="14" t="s">
        <v>464</v>
      </c>
      <c r="D181" s="14" t="s">
        <v>850</v>
      </c>
      <c r="E181" s="14" t="s">
        <v>118</v>
      </c>
      <c r="F181" s="14" t="s">
        <v>218</v>
      </c>
      <c r="G181" s="14" t="s">
        <v>172</v>
      </c>
      <c r="H181" s="16" t="s">
        <v>268</v>
      </c>
      <c r="I181" s="14" t="s">
        <v>101</v>
      </c>
      <c r="J181" s="14" t="s">
        <v>823</v>
      </c>
    </row>
    <row r="182" ht="15.75" customHeight="1">
      <c r="A182" s="14" t="s">
        <v>815</v>
      </c>
      <c r="B182" s="14" t="s">
        <v>25</v>
      </c>
      <c r="C182" s="14" t="s">
        <v>464</v>
      </c>
      <c r="D182" s="14" t="s">
        <v>851</v>
      </c>
      <c r="E182" s="14" t="s">
        <v>118</v>
      </c>
      <c r="F182" s="14" t="s">
        <v>218</v>
      </c>
      <c r="G182" s="14" t="s">
        <v>191</v>
      </c>
      <c r="H182" s="16" t="s">
        <v>268</v>
      </c>
      <c r="I182" s="14" t="s">
        <v>101</v>
      </c>
      <c r="J182" s="14" t="s">
        <v>852</v>
      </c>
    </row>
    <row r="183" ht="15.75" customHeight="1">
      <c r="A183" s="14" t="s">
        <v>815</v>
      </c>
      <c r="B183" s="14" t="s">
        <v>25</v>
      </c>
      <c r="C183" s="14" t="s">
        <v>464</v>
      </c>
      <c r="D183" s="14" t="s">
        <v>853</v>
      </c>
      <c r="E183" s="14" t="s">
        <v>149</v>
      </c>
      <c r="F183" s="14" t="s">
        <v>218</v>
      </c>
      <c r="G183" s="14" t="s">
        <v>214</v>
      </c>
      <c r="H183" s="16" t="s">
        <v>218</v>
      </c>
      <c r="I183" s="14" t="s">
        <v>101</v>
      </c>
      <c r="J183" s="14" t="s">
        <v>827</v>
      </c>
    </row>
    <row r="184" ht="15.75" customHeight="1">
      <c r="A184" s="14" t="s">
        <v>815</v>
      </c>
      <c r="B184" s="14" t="s">
        <v>25</v>
      </c>
      <c r="C184" s="14" t="s">
        <v>464</v>
      </c>
      <c r="D184" s="14" t="s">
        <v>855</v>
      </c>
      <c r="E184" s="14" t="s">
        <v>229</v>
      </c>
      <c r="F184" s="14" t="s">
        <v>218</v>
      </c>
      <c r="G184" s="14" t="s">
        <v>235</v>
      </c>
      <c r="H184" s="16" t="s">
        <v>268</v>
      </c>
      <c r="I184" s="14" t="s">
        <v>101</v>
      </c>
      <c r="J184" s="14" t="s">
        <v>829</v>
      </c>
    </row>
    <row r="185" ht="15.75" customHeight="1">
      <c r="A185" s="14" t="s">
        <v>815</v>
      </c>
      <c r="B185" s="14" t="s">
        <v>25</v>
      </c>
      <c r="C185" s="14" t="s">
        <v>464</v>
      </c>
      <c r="D185" s="14" t="s">
        <v>855</v>
      </c>
      <c r="E185" s="14" t="s">
        <v>255</v>
      </c>
      <c r="F185" s="14" t="s">
        <v>218</v>
      </c>
      <c r="G185" s="14" t="s">
        <v>235</v>
      </c>
      <c r="H185" s="16" t="s">
        <v>268</v>
      </c>
      <c r="I185" s="14" t="s">
        <v>101</v>
      </c>
      <c r="J185" s="14" t="s">
        <v>831</v>
      </c>
    </row>
    <row r="186" ht="15.75" customHeight="1">
      <c r="A186" s="34"/>
      <c r="B186" s="34"/>
      <c r="C186" s="34"/>
      <c r="D186" s="34"/>
      <c r="E186" s="34"/>
      <c r="F186" s="34"/>
      <c r="G186" s="34"/>
      <c r="H186" s="34"/>
      <c r="I186" s="34"/>
      <c r="J186" s="34"/>
    </row>
    <row r="187" ht="15.75" customHeight="1">
      <c r="A187" s="14" t="s">
        <v>815</v>
      </c>
      <c r="B187" s="14" t="s">
        <v>69</v>
      </c>
      <c r="C187" s="14" t="s">
        <v>458</v>
      </c>
      <c r="D187" s="14" t="s">
        <v>859</v>
      </c>
      <c r="E187" s="14" t="s">
        <v>195</v>
      </c>
      <c r="F187" s="14" t="s">
        <v>218</v>
      </c>
      <c r="G187" s="14" t="s">
        <v>289</v>
      </c>
      <c r="H187" s="14" t="s">
        <v>268</v>
      </c>
      <c r="I187" s="14" t="s">
        <v>101</v>
      </c>
      <c r="J187" s="14" t="s">
        <v>860</v>
      </c>
    </row>
    <row r="188" ht="15.75" customHeight="1">
      <c r="A188" s="14" t="s">
        <v>815</v>
      </c>
      <c r="B188" s="14" t="s">
        <v>69</v>
      </c>
      <c r="C188" s="14" t="s">
        <v>458</v>
      </c>
      <c r="D188" s="14" t="s">
        <v>862</v>
      </c>
      <c r="E188" s="14" t="s">
        <v>204</v>
      </c>
      <c r="F188" s="14" t="s">
        <v>218</v>
      </c>
      <c r="G188" s="14" t="s">
        <v>308</v>
      </c>
      <c r="H188" s="14" t="s">
        <v>218</v>
      </c>
      <c r="I188" s="14" t="s">
        <v>101</v>
      </c>
      <c r="J188" s="14" t="s">
        <v>863</v>
      </c>
    </row>
    <row r="189" ht="15.75" customHeight="1">
      <c r="A189" s="14" t="s">
        <v>815</v>
      </c>
      <c r="B189" s="14" t="s">
        <v>69</v>
      </c>
      <c r="C189" s="14" t="s">
        <v>458</v>
      </c>
      <c r="D189" s="14" t="s">
        <v>865</v>
      </c>
      <c r="E189" s="14" t="s">
        <v>217</v>
      </c>
      <c r="F189" s="14" t="s">
        <v>218</v>
      </c>
      <c r="G189" s="14" t="s">
        <v>326</v>
      </c>
      <c r="H189" s="14" t="s">
        <v>268</v>
      </c>
      <c r="I189" s="14" t="s">
        <v>101</v>
      </c>
      <c r="J189" s="14" t="s">
        <v>866</v>
      </c>
    </row>
    <row r="190" ht="15.75" customHeight="1">
      <c r="A190" s="14" t="s">
        <v>815</v>
      </c>
      <c r="B190" s="14" t="s">
        <v>69</v>
      </c>
      <c r="C190" s="14" t="s">
        <v>458</v>
      </c>
      <c r="D190" s="14" t="s">
        <v>868</v>
      </c>
      <c r="E190" s="14" t="s">
        <v>228</v>
      </c>
      <c r="F190" s="14" t="s">
        <v>218</v>
      </c>
      <c r="G190" s="14" t="s">
        <v>341</v>
      </c>
      <c r="H190" s="14" t="s">
        <v>268</v>
      </c>
      <c r="I190" s="14" t="s">
        <v>101</v>
      </c>
      <c r="J190" s="14" t="s">
        <v>869</v>
      </c>
    </row>
    <row r="191" ht="15.75" customHeight="1">
      <c r="A191" s="14" t="s">
        <v>815</v>
      </c>
      <c r="B191" s="14" t="s">
        <v>69</v>
      </c>
      <c r="C191" s="14" t="s">
        <v>458</v>
      </c>
      <c r="D191" s="14" t="s">
        <v>871</v>
      </c>
      <c r="E191" s="14" t="s">
        <v>240</v>
      </c>
      <c r="F191" s="14" t="s">
        <v>218</v>
      </c>
      <c r="G191" s="14" t="s">
        <v>349</v>
      </c>
      <c r="H191" s="14" t="s">
        <v>218</v>
      </c>
      <c r="I191" s="14" t="s">
        <v>101</v>
      </c>
      <c r="J191" s="14" t="s">
        <v>873</v>
      </c>
    </row>
    <row r="192" ht="15.75" customHeight="1">
      <c r="A192" s="14" t="s">
        <v>815</v>
      </c>
      <c r="B192" s="14" t="s">
        <v>69</v>
      </c>
      <c r="C192" s="14" t="s">
        <v>458</v>
      </c>
      <c r="D192" s="14" t="s">
        <v>874</v>
      </c>
      <c r="E192" s="14" t="s">
        <v>247</v>
      </c>
      <c r="F192" s="14" t="s">
        <v>218</v>
      </c>
      <c r="G192" s="14" t="s">
        <v>357</v>
      </c>
      <c r="H192" s="57" t="s">
        <v>268</v>
      </c>
      <c r="I192" s="14" t="s">
        <v>101</v>
      </c>
      <c r="J192" s="14" t="s">
        <v>877</v>
      </c>
    </row>
    <row r="193" ht="15.75" customHeight="1">
      <c r="A193" s="14" t="s">
        <v>815</v>
      </c>
      <c r="B193" s="14" t="s">
        <v>69</v>
      </c>
      <c r="C193" s="14" t="s">
        <v>458</v>
      </c>
      <c r="D193" s="14" t="s">
        <v>878</v>
      </c>
      <c r="E193" s="14" t="s">
        <v>260</v>
      </c>
      <c r="F193" s="14" t="s">
        <v>218</v>
      </c>
      <c r="G193" s="14" t="s">
        <v>365</v>
      </c>
      <c r="H193" s="14" t="s">
        <v>268</v>
      </c>
      <c r="I193" s="14" t="s">
        <v>101</v>
      </c>
      <c r="J193" s="14" t="s">
        <v>880</v>
      </c>
    </row>
    <row r="194" ht="15.75" customHeight="1">
      <c r="A194" s="34"/>
      <c r="B194" s="34"/>
      <c r="C194" s="34"/>
      <c r="D194" s="34"/>
      <c r="E194" s="34"/>
      <c r="F194" s="34"/>
      <c r="G194" s="34"/>
      <c r="H194" s="34"/>
      <c r="I194" s="34"/>
      <c r="J194" s="34"/>
    </row>
    <row r="195" ht="15.75" customHeight="1">
      <c r="A195" s="14" t="s">
        <v>815</v>
      </c>
      <c r="B195" s="14" t="s">
        <v>69</v>
      </c>
      <c r="C195" s="14" t="s">
        <v>462</v>
      </c>
      <c r="D195" s="14" t="s">
        <v>883</v>
      </c>
      <c r="E195" s="14" t="s">
        <v>195</v>
      </c>
      <c r="F195" s="14" t="s">
        <v>218</v>
      </c>
      <c r="G195" s="14" t="s">
        <v>289</v>
      </c>
      <c r="H195" s="14" t="s">
        <v>268</v>
      </c>
      <c r="I195" s="14" t="s">
        <v>101</v>
      </c>
      <c r="J195" s="14" t="s">
        <v>860</v>
      </c>
    </row>
    <row r="196" ht="15.75" customHeight="1">
      <c r="A196" s="14" t="s">
        <v>815</v>
      </c>
      <c r="B196" s="14" t="s">
        <v>69</v>
      </c>
      <c r="C196" s="14" t="s">
        <v>462</v>
      </c>
      <c r="D196" s="14" t="s">
        <v>885</v>
      </c>
      <c r="E196" s="14" t="s">
        <v>204</v>
      </c>
      <c r="F196" s="14" t="s">
        <v>218</v>
      </c>
      <c r="G196" s="14" t="s">
        <v>308</v>
      </c>
      <c r="H196" s="14" t="s">
        <v>218</v>
      </c>
      <c r="I196" s="14" t="s">
        <v>101</v>
      </c>
      <c r="J196" s="14" t="s">
        <v>863</v>
      </c>
    </row>
    <row r="197" ht="15.75" customHeight="1">
      <c r="A197" s="14" t="s">
        <v>815</v>
      </c>
      <c r="B197" s="14" t="s">
        <v>69</v>
      </c>
      <c r="C197" s="14" t="s">
        <v>462</v>
      </c>
      <c r="D197" s="14" t="s">
        <v>888</v>
      </c>
      <c r="E197" s="14" t="s">
        <v>217</v>
      </c>
      <c r="F197" s="14" t="s">
        <v>218</v>
      </c>
      <c r="G197" s="14" t="s">
        <v>326</v>
      </c>
      <c r="H197" s="14" t="s">
        <v>268</v>
      </c>
      <c r="I197" s="14" t="s">
        <v>101</v>
      </c>
      <c r="J197" s="14" t="s">
        <v>866</v>
      </c>
    </row>
    <row r="198" ht="15.75" customHeight="1">
      <c r="A198" s="14" t="s">
        <v>815</v>
      </c>
      <c r="B198" s="14" t="s">
        <v>69</v>
      </c>
      <c r="C198" s="14" t="s">
        <v>462</v>
      </c>
      <c r="D198" s="14" t="s">
        <v>890</v>
      </c>
      <c r="E198" s="14" t="s">
        <v>228</v>
      </c>
      <c r="F198" s="14" t="s">
        <v>218</v>
      </c>
      <c r="G198" s="14" t="s">
        <v>341</v>
      </c>
      <c r="H198" s="14" t="s">
        <v>268</v>
      </c>
      <c r="I198" s="14" t="s">
        <v>101</v>
      </c>
      <c r="J198" s="14" t="s">
        <v>869</v>
      </c>
    </row>
    <row r="199" ht="15.75" customHeight="1">
      <c r="A199" s="14" t="s">
        <v>815</v>
      </c>
      <c r="B199" s="14" t="s">
        <v>69</v>
      </c>
      <c r="C199" s="14" t="s">
        <v>462</v>
      </c>
      <c r="D199" s="14" t="s">
        <v>893</v>
      </c>
      <c r="E199" s="14" t="s">
        <v>240</v>
      </c>
      <c r="F199" s="14" t="s">
        <v>218</v>
      </c>
      <c r="G199" s="14" t="s">
        <v>349</v>
      </c>
      <c r="H199" s="14" t="s">
        <v>218</v>
      </c>
      <c r="I199" s="14" t="s">
        <v>101</v>
      </c>
      <c r="J199" s="14" t="s">
        <v>873</v>
      </c>
    </row>
    <row r="200" ht="15.75" customHeight="1">
      <c r="A200" s="14" t="s">
        <v>815</v>
      </c>
      <c r="B200" s="14" t="s">
        <v>69</v>
      </c>
      <c r="C200" s="14" t="s">
        <v>462</v>
      </c>
      <c r="D200" s="14" t="s">
        <v>897</v>
      </c>
      <c r="E200" s="14" t="s">
        <v>247</v>
      </c>
      <c r="F200" s="14" t="s">
        <v>218</v>
      </c>
      <c r="G200" s="14" t="s">
        <v>357</v>
      </c>
      <c r="H200" s="14" t="s">
        <v>268</v>
      </c>
      <c r="I200" s="14" t="s">
        <v>101</v>
      </c>
      <c r="J200" s="14" t="s">
        <v>877</v>
      </c>
    </row>
    <row r="201" ht="15.75" customHeight="1">
      <c r="A201" s="14" t="s">
        <v>815</v>
      </c>
      <c r="B201" s="14" t="s">
        <v>69</v>
      </c>
      <c r="C201" s="14" t="s">
        <v>462</v>
      </c>
      <c r="D201" s="14" t="s">
        <v>901</v>
      </c>
      <c r="E201" s="14" t="s">
        <v>260</v>
      </c>
      <c r="F201" s="14" t="s">
        <v>218</v>
      </c>
      <c r="G201" s="14" t="s">
        <v>365</v>
      </c>
      <c r="H201" s="14" t="s">
        <v>268</v>
      </c>
      <c r="I201" s="14" t="s">
        <v>101</v>
      </c>
      <c r="J201" s="14" t="s">
        <v>880</v>
      </c>
    </row>
    <row r="202" ht="15.75" customHeight="1">
      <c r="A202" s="34"/>
      <c r="B202" s="34"/>
      <c r="C202" s="34"/>
      <c r="D202" s="34"/>
      <c r="E202" s="34"/>
      <c r="F202" s="34"/>
      <c r="G202" s="34"/>
      <c r="H202" s="34"/>
      <c r="I202" s="34"/>
      <c r="J202" s="34"/>
    </row>
    <row r="203" ht="15.75" customHeight="1">
      <c r="A203" s="14" t="s">
        <v>815</v>
      </c>
      <c r="B203" s="14" t="s">
        <v>69</v>
      </c>
      <c r="C203" s="14" t="s">
        <v>464</v>
      </c>
      <c r="D203" s="14" t="s">
        <v>904</v>
      </c>
      <c r="E203" s="14" t="s">
        <v>195</v>
      </c>
      <c r="F203" s="14" t="s">
        <v>218</v>
      </c>
      <c r="G203" s="14" t="s">
        <v>289</v>
      </c>
      <c r="H203" s="14" t="s">
        <v>268</v>
      </c>
      <c r="I203" s="14" t="s">
        <v>101</v>
      </c>
      <c r="J203" s="14" t="s">
        <v>860</v>
      </c>
    </row>
    <row r="204" ht="15.75" customHeight="1">
      <c r="A204" s="14" t="s">
        <v>815</v>
      </c>
      <c r="B204" s="14" t="s">
        <v>69</v>
      </c>
      <c r="C204" s="14" t="s">
        <v>464</v>
      </c>
      <c r="D204" s="14" t="s">
        <v>908</v>
      </c>
      <c r="E204" s="14" t="s">
        <v>204</v>
      </c>
      <c r="F204" s="14" t="s">
        <v>218</v>
      </c>
      <c r="G204" s="14" t="s">
        <v>308</v>
      </c>
      <c r="H204" s="14" t="s">
        <v>218</v>
      </c>
      <c r="I204" s="14" t="s">
        <v>101</v>
      </c>
      <c r="J204" s="14" t="s">
        <v>863</v>
      </c>
    </row>
    <row r="205" ht="15.75" customHeight="1">
      <c r="A205" s="14" t="s">
        <v>815</v>
      </c>
      <c r="B205" s="14" t="s">
        <v>69</v>
      </c>
      <c r="C205" s="14" t="s">
        <v>464</v>
      </c>
      <c r="D205" s="14" t="s">
        <v>913</v>
      </c>
      <c r="E205" s="14" t="s">
        <v>217</v>
      </c>
      <c r="F205" s="14" t="s">
        <v>218</v>
      </c>
      <c r="G205" s="14" t="s">
        <v>326</v>
      </c>
      <c r="H205" s="14" t="s">
        <v>268</v>
      </c>
      <c r="I205" s="14" t="s">
        <v>101</v>
      </c>
      <c r="J205" s="14" t="s">
        <v>866</v>
      </c>
    </row>
    <row r="206" ht="15.75" customHeight="1">
      <c r="A206" s="14" t="s">
        <v>815</v>
      </c>
      <c r="B206" s="14" t="s">
        <v>69</v>
      </c>
      <c r="C206" s="14" t="s">
        <v>464</v>
      </c>
      <c r="D206" s="14" t="s">
        <v>914</v>
      </c>
      <c r="E206" s="14" t="s">
        <v>228</v>
      </c>
      <c r="F206" s="14" t="s">
        <v>218</v>
      </c>
      <c r="G206" s="14" t="s">
        <v>341</v>
      </c>
      <c r="H206" s="14" t="s">
        <v>268</v>
      </c>
      <c r="I206" s="14" t="s">
        <v>101</v>
      </c>
      <c r="J206" s="14" t="s">
        <v>869</v>
      </c>
    </row>
    <row r="207" ht="15.75" customHeight="1">
      <c r="A207" s="14" t="s">
        <v>815</v>
      </c>
      <c r="B207" s="14" t="s">
        <v>69</v>
      </c>
      <c r="C207" s="14" t="s">
        <v>464</v>
      </c>
      <c r="D207" s="14" t="s">
        <v>916</v>
      </c>
      <c r="E207" s="14" t="s">
        <v>240</v>
      </c>
      <c r="F207" s="14" t="s">
        <v>218</v>
      </c>
      <c r="G207" s="14" t="s">
        <v>349</v>
      </c>
      <c r="H207" s="14" t="s">
        <v>218</v>
      </c>
      <c r="I207" s="14" t="s">
        <v>101</v>
      </c>
      <c r="J207" s="14" t="s">
        <v>873</v>
      </c>
    </row>
    <row r="208" ht="15.75" customHeight="1">
      <c r="A208" s="14" t="s">
        <v>815</v>
      </c>
      <c r="B208" s="14" t="s">
        <v>69</v>
      </c>
      <c r="C208" s="14" t="s">
        <v>464</v>
      </c>
      <c r="D208" s="14" t="s">
        <v>918</v>
      </c>
      <c r="E208" s="14" t="s">
        <v>247</v>
      </c>
      <c r="F208" s="14" t="s">
        <v>218</v>
      </c>
      <c r="G208" s="14" t="s">
        <v>357</v>
      </c>
      <c r="H208" s="14" t="s">
        <v>268</v>
      </c>
      <c r="I208" s="14" t="s">
        <v>101</v>
      </c>
      <c r="J208" s="14" t="s">
        <v>877</v>
      </c>
    </row>
    <row r="209" ht="15.75" customHeight="1">
      <c r="A209" s="14" t="s">
        <v>815</v>
      </c>
      <c r="B209" s="14" t="s">
        <v>69</v>
      </c>
      <c r="C209" s="14" t="s">
        <v>464</v>
      </c>
      <c r="D209" s="14" t="s">
        <v>919</v>
      </c>
      <c r="E209" s="14" t="s">
        <v>260</v>
      </c>
      <c r="F209" s="14" t="s">
        <v>218</v>
      </c>
      <c r="G209" s="14" t="s">
        <v>365</v>
      </c>
      <c r="H209" s="14" t="s">
        <v>268</v>
      </c>
      <c r="I209" s="14" t="s">
        <v>101</v>
      </c>
      <c r="J209" s="14" t="s">
        <v>880</v>
      </c>
    </row>
    <row r="210" ht="15.75" customHeight="1">
      <c r="A210" s="34"/>
      <c r="B210" s="34"/>
      <c r="C210" s="34"/>
      <c r="D210" s="34"/>
      <c r="E210" s="34"/>
      <c r="F210" s="34"/>
      <c r="G210" s="34"/>
      <c r="H210" s="34"/>
      <c r="I210" s="34"/>
      <c r="J210" s="34"/>
    </row>
    <row r="211" ht="15.75" customHeight="1">
      <c r="A211" s="14" t="s">
        <v>815</v>
      </c>
      <c r="B211" s="14" t="s">
        <v>76</v>
      </c>
      <c r="C211" s="14" t="s">
        <v>458</v>
      </c>
      <c r="D211" s="14" t="s">
        <v>920</v>
      </c>
      <c r="E211" s="14" t="s">
        <v>273</v>
      </c>
      <c r="F211" s="14" t="s">
        <v>218</v>
      </c>
      <c r="G211" s="14" t="s">
        <v>373</v>
      </c>
      <c r="H211" s="14" t="s">
        <v>268</v>
      </c>
      <c r="I211" s="14" t="s">
        <v>101</v>
      </c>
      <c r="J211" s="14" t="s">
        <v>921</v>
      </c>
    </row>
    <row r="212" ht="15.75" customHeight="1">
      <c r="A212" s="14" t="s">
        <v>815</v>
      </c>
      <c r="B212" s="14" t="s">
        <v>76</v>
      </c>
      <c r="C212" s="14" t="s">
        <v>458</v>
      </c>
      <c r="D212" s="14" t="s">
        <v>922</v>
      </c>
      <c r="E212" s="14" t="s">
        <v>278</v>
      </c>
      <c r="F212" s="14" t="s">
        <v>218</v>
      </c>
      <c r="G212" s="14" t="s">
        <v>381</v>
      </c>
      <c r="H212" s="14" t="s">
        <v>268</v>
      </c>
      <c r="I212" s="14" t="s">
        <v>101</v>
      </c>
      <c r="J212" s="14" t="s">
        <v>923</v>
      </c>
    </row>
    <row r="213" ht="15.75" customHeight="1">
      <c r="A213" s="14" t="s">
        <v>815</v>
      </c>
      <c r="B213" s="14" t="s">
        <v>76</v>
      </c>
      <c r="C213" s="14" t="s">
        <v>458</v>
      </c>
      <c r="D213" s="14" t="s">
        <v>925</v>
      </c>
      <c r="E213" s="14" t="s">
        <v>283</v>
      </c>
      <c r="F213" s="14" t="s">
        <v>218</v>
      </c>
      <c r="G213" s="14" t="s">
        <v>388</v>
      </c>
      <c r="H213" s="14" t="s">
        <v>268</v>
      </c>
      <c r="I213" s="14" t="s">
        <v>101</v>
      </c>
      <c r="J213" s="14" t="s">
        <v>926</v>
      </c>
    </row>
    <row r="214" ht="15.75" customHeight="1">
      <c r="A214" s="14" t="s">
        <v>815</v>
      </c>
      <c r="B214" s="14" t="s">
        <v>76</v>
      </c>
      <c r="C214" s="14" t="s">
        <v>458</v>
      </c>
      <c r="D214" s="14" t="s">
        <v>927</v>
      </c>
      <c r="E214" s="14" t="s">
        <v>392</v>
      </c>
      <c r="F214" s="14" t="s">
        <v>218</v>
      </c>
      <c r="G214" s="14" t="s">
        <v>396</v>
      </c>
      <c r="H214" s="14" t="s">
        <v>268</v>
      </c>
      <c r="I214" s="14" t="s">
        <v>101</v>
      </c>
      <c r="J214" s="14" t="s">
        <v>929</v>
      </c>
    </row>
    <row r="215" ht="15.75" customHeight="1">
      <c r="A215" s="14" t="s">
        <v>815</v>
      </c>
      <c r="B215" s="14" t="s">
        <v>76</v>
      </c>
      <c r="C215" s="14" t="s">
        <v>458</v>
      </c>
      <c r="D215" s="14" t="s">
        <v>927</v>
      </c>
      <c r="E215" s="14" t="s">
        <v>411</v>
      </c>
      <c r="F215" s="14" t="s">
        <v>218</v>
      </c>
      <c r="G215" s="14" t="s">
        <v>396</v>
      </c>
      <c r="H215" s="14" t="s">
        <v>268</v>
      </c>
      <c r="I215" s="14" t="s">
        <v>101</v>
      </c>
      <c r="J215" s="14" t="s">
        <v>930</v>
      </c>
    </row>
    <row r="216" ht="15.75" customHeight="1">
      <c r="A216" s="14" t="s">
        <v>815</v>
      </c>
      <c r="B216" s="14" t="s">
        <v>76</v>
      </c>
      <c r="C216" s="14" t="s">
        <v>458</v>
      </c>
      <c r="D216" s="14" t="s">
        <v>931</v>
      </c>
      <c r="E216" s="14" t="s">
        <v>306</v>
      </c>
      <c r="F216" s="14" t="s">
        <v>218</v>
      </c>
      <c r="G216" s="14" t="s">
        <v>405</v>
      </c>
      <c r="H216" s="14" t="s">
        <v>268</v>
      </c>
      <c r="I216" s="14" t="s">
        <v>101</v>
      </c>
      <c r="J216" s="14" t="s">
        <v>932</v>
      </c>
    </row>
    <row r="217" ht="15.75" customHeight="1">
      <c r="A217" s="14" t="s">
        <v>815</v>
      </c>
      <c r="B217" s="14" t="s">
        <v>76</v>
      </c>
      <c r="C217" s="14" t="s">
        <v>458</v>
      </c>
      <c r="D217" s="14" t="s">
        <v>933</v>
      </c>
      <c r="E217" s="14" t="s">
        <v>415</v>
      </c>
      <c r="F217" s="14" t="s">
        <v>218</v>
      </c>
      <c r="G217" s="14" t="s">
        <v>419</v>
      </c>
      <c r="H217" s="14" t="s">
        <v>268</v>
      </c>
      <c r="I217" s="14" t="s">
        <v>101</v>
      </c>
      <c r="J217" s="14" t="s">
        <v>934</v>
      </c>
    </row>
    <row r="218" ht="15.75" customHeight="1">
      <c r="A218" s="14" t="s">
        <v>815</v>
      </c>
      <c r="B218" s="14" t="s">
        <v>76</v>
      </c>
      <c r="C218" s="14" t="s">
        <v>458</v>
      </c>
      <c r="D218" s="14" t="s">
        <v>933</v>
      </c>
      <c r="E218" s="14" t="s">
        <v>425</v>
      </c>
      <c r="F218" s="14" t="s">
        <v>218</v>
      </c>
      <c r="G218" s="14" t="s">
        <v>419</v>
      </c>
      <c r="H218" s="14" t="s">
        <v>268</v>
      </c>
      <c r="I218" s="14" t="s">
        <v>101</v>
      </c>
      <c r="J218" s="14" t="s">
        <v>935</v>
      </c>
    </row>
    <row r="219" ht="15.75" customHeight="1">
      <c r="A219" s="14" t="s">
        <v>815</v>
      </c>
      <c r="B219" s="14" t="s">
        <v>76</v>
      </c>
      <c r="C219" s="14" t="s">
        <v>458</v>
      </c>
      <c r="D219" s="14" t="s">
        <v>936</v>
      </c>
      <c r="E219" s="14" t="s">
        <v>329</v>
      </c>
      <c r="F219" s="14" t="s">
        <v>218</v>
      </c>
      <c r="G219" s="14" t="s">
        <v>432</v>
      </c>
      <c r="H219" s="14" t="s">
        <v>268</v>
      </c>
      <c r="I219" s="14" t="s">
        <v>101</v>
      </c>
      <c r="J219" s="14" t="s">
        <v>937</v>
      </c>
    </row>
    <row r="220" ht="15.75" customHeight="1">
      <c r="A220" s="14" t="s">
        <v>815</v>
      </c>
      <c r="B220" s="14" t="s">
        <v>76</v>
      </c>
      <c r="C220" s="14" t="s">
        <v>458</v>
      </c>
      <c r="D220" s="14" t="s">
        <v>938</v>
      </c>
      <c r="E220" s="14" t="s">
        <v>337</v>
      </c>
      <c r="F220" s="14" t="s">
        <v>218</v>
      </c>
      <c r="G220" s="14" t="s">
        <v>441</v>
      </c>
      <c r="H220" s="14" t="s">
        <v>268</v>
      </c>
      <c r="I220" s="14" t="s">
        <v>101</v>
      </c>
      <c r="J220" s="14" t="s">
        <v>939</v>
      </c>
    </row>
    <row r="221" ht="15.75" customHeight="1">
      <c r="A221" s="59"/>
      <c r="B221" s="59"/>
      <c r="C221" s="59"/>
      <c r="D221" s="59"/>
      <c r="E221" s="59"/>
      <c r="F221" s="34"/>
      <c r="G221" s="34"/>
      <c r="H221" s="34"/>
      <c r="I221" s="34"/>
      <c r="J221" s="34"/>
    </row>
    <row r="222" ht="15.75" customHeight="1">
      <c r="A222" s="14" t="s">
        <v>815</v>
      </c>
      <c r="B222" s="14" t="s">
        <v>76</v>
      </c>
      <c r="C222" s="14" t="s">
        <v>462</v>
      </c>
      <c r="D222" s="14" t="s">
        <v>941</v>
      </c>
      <c r="E222" s="14" t="s">
        <v>273</v>
      </c>
      <c r="F222" s="14" t="s">
        <v>218</v>
      </c>
      <c r="G222" s="14" t="s">
        <v>373</v>
      </c>
      <c r="H222" s="14" t="s">
        <v>268</v>
      </c>
      <c r="I222" s="14" t="s">
        <v>101</v>
      </c>
      <c r="J222" s="14" t="s">
        <v>921</v>
      </c>
    </row>
    <row r="223" ht="15.75" customHeight="1">
      <c r="A223" s="14" t="s">
        <v>815</v>
      </c>
      <c r="B223" s="14" t="s">
        <v>76</v>
      </c>
      <c r="C223" s="14" t="s">
        <v>462</v>
      </c>
      <c r="D223" s="14" t="s">
        <v>943</v>
      </c>
      <c r="E223" s="14" t="s">
        <v>278</v>
      </c>
      <c r="F223" s="14" t="s">
        <v>218</v>
      </c>
      <c r="G223" s="14" t="s">
        <v>381</v>
      </c>
      <c r="H223" s="14" t="s">
        <v>268</v>
      </c>
      <c r="I223" s="14" t="s">
        <v>101</v>
      </c>
      <c r="J223" s="14" t="s">
        <v>923</v>
      </c>
    </row>
    <row r="224" ht="15.75" customHeight="1">
      <c r="A224" s="14" t="s">
        <v>815</v>
      </c>
      <c r="B224" s="14" t="s">
        <v>76</v>
      </c>
      <c r="C224" s="14" t="s">
        <v>462</v>
      </c>
      <c r="D224" s="14" t="s">
        <v>944</v>
      </c>
      <c r="E224" s="14" t="s">
        <v>283</v>
      </c>
      <c r="F224" s="14" t="s">
        <v>218</v>
      </c>
      <c r="G224" s="14" t="s">
        <v>388</v>
      </c>
      <c r="H224" s="14" t="s">
        <v>268</v>
      </c>
      <c r="I224" s="14" t="s">
        <v>101</v>
      </c>
      <c r="J224" s="14" t="s">
        <v>926</v>
      </c>
    </row>
    <row r="225" ht="15.75" customHeight="1">
      <c r="A225" s="14" t="s">
        <v>815</v>
      </c>
      <c r="B225" s="14" t="s">
        <v>76</v>
      </c>
      <c r="C225" s="14" t="s">
        <v>462</v>
      </c>
      <c r="D225" s="14" t="s">
        <v>945</v>
      </c>
      <c r="E225" s="14" t="s">
        <v>392</v>
      </c>
      <c r="F225" s="14" t="s">
        <v>218</v>
      </c>
      <c r="G225" s="14" t="s">
        <v>396</v>
      </c>
      <c r="H225" s="14" t="s">
        <v>268</v>
      </c>
      <c r="I225" s="14" t="s">
        <v>101</v>
      </c>
      <c r="J225" s="14" t="s">
        <v>929</v>
      </c>
    </row>
    <row r="226" ht="15.75" customHeight="1">
      <c r="A226" s="14" t="s">
        <v>815</v>
      </c>
      <c r="B226" s="14" t="s">
        <v>76</v>
      </c>
      <c r="C226" s="14" t="s">
        <v>462</v>
      </c>
      <c r="D226" s="14" t="s">
        <v>945</v>
      </c>
      <c r="E226" s="14" t="s">
        <v>411</v>
      </c>
      <c r="F226" s="14" t="s">
        <v>218</v>
      </c>
      <c r="G226" s="14" t="s">
        <v>396</v>
      </c>
      <c r="H226" s="14" t="s">
        <v>268</v>
      </c>
      <c r="I226" s="14" t="s">
        <v>101</v>
      </c>
      <c r="J226" s="14" t="s">
        <v>930</v>
      </c>
    </row>
    <row r="227" ht="15.75" customHeight="1">
      <c r="A227" s="14" t="s">
        <v>815</v>
      </c>
      <c r="B227" s="14" t="s">
        <v>76</v>
      </c>
      <c r="C227" s="14" t="s">
        <v>462</v>
      </c>
      <c r="D227" s="14" t="s">
        <v>946</v>
      </c>
      <c r="E227" s="14" t="s">
        <v>306</v>
      </c>
      <c r="F227" s="14" t="s">
        <v>218</v>
      </c>
      <c r="G227" s="14" t="s">
        <v>405</v>
      </c>
      <c r="H227" s="14" t="s">
        <v>268</v>
      </c>
      <c r="I227" s="14" t="s">
        <v>101</v>
      </c>
      <c r="J227" s="14" t="s">
        <v>932</v>
      </c>
    </row>
    <row r="228" ht="15.75" customHeight="1">
      <c r="A228" s="14" t="s">
        <v>815</v>
      </c>
      <c r="B228" s="14" t="s">
        <v>76</v>
      </c>
      <c r="C228" s="14" t="s">
        <v>462</v>
      </c>
      <c r="D228" s="14" t="s">
        <v>947</v>
      </c>
      <c r="E228" s="14" t="s">
        <v>415</v>
      </c>
      <c r="F228" s="14" t="s">
        <v>218</v>
      </c>
      <c r="G228" s="14" t="s">
        <v>419</v>
      </c>
      <c r="H228" s="14" t="s">
        <v>268</v>
      </c>
      <c r="I228" s="14" t="s">
        <v>101</v>
      </c>
      <c r="J228" s="14" t="s">
        <v>934</v>
      </c>
    </row>
    <row r="229" ht="15.75" customHeight="1">
      <c r="A229" s="14" t="s">
        <v>815</v>
      </c>
      <c r="B229" s="14" t="s">
        <v>76</v>
      </c>
      <c r="C229" s="14" t="s">
        <v>462</v>
      </c>
      <c r="D229" s="14" t="s">
        <v>947</v>
      </c>
      <c r="E229" s="14" t="s">
        <v>425</v>
      </c>
      <c r="F229" s="14" t="s">
        <v>218</v>
      </c>
      <c r="G229" s="14" t="s">
        <v>419</v>
      </c>
      <c r="H229" s="14" t="s">
        <v>268</v>
      </c>
      <c r="I229" s="14" t="s">
        <v>101</v>
      </c>
      <c r="J229" s="14" t="s">
        <v>935</v>
      </c>
    </row>
    <row r="230" ht="15.75" customHeight="1">
      <c r="A230" s="14" t="s">
        <v>815</v>
      </c>
      <c r="B230" s="14" t="s">
        <v>76</v>
      </c>
      <c r="C230" s="14" t="s">
        <v>462</v>
      </c>
      <c r="D230" s="14" t="s">
        <v>949</v>
      </c>
      <c r="E230" s="14" t="s">
        <v>329</v>
      </c>
      <c r="F230" s="14" t="s">
        <v>218</v>
      </c>
      <c r="G230" s="14" t="s">
        <v>432</v>
      </c>
      <c r="H230" s="14" t="s">
        <v>268</v>
      </c>
      <c r="I230" s="14" t="s">
        <v>101</v>
      </c>
      <c r="J230" s="14" t="s">
        <v>937</v>
      </c>
    </row>
    <row r="231" ht="15.75" customHeight="1">
      <c r="A231" s="14" t="s">
        <v>815</v>
      </c>
      <c r="B231" s="14" t="s">
        <v>76</v>
      </c>
      <c r="C231" s="14" t="s">
        <v>462</v>
      </c>
      <c r="D231" s="14" t="s">
        <v>951</v>
      </c>
      <c r="E231" s="14" t="s">
        <v>337</v>
      </c>
      <c r="F231" s="14" t="s">
        <v>218</v>
      </c>
      <c r="G231" s="14" t="s">
        <v>441</v>
      </c>
      <c r="H231" s="14" t="s">
        <v>268</v>
      </c>
      <c r="I231" s="14" t="s">
        <v>101</v>
      </c>
      <c r="J231" s="14" t="s">
        <v>939</v>
      </c>
    </row>
    <row r="232" ht="15.75" customHeight="1">
      <c r="A232" s="59"/>
      <c r="B232" s="59"/>
      <c r="C232" s="59"/>
      <c r="D232" s="59"/>
      <c r="E232" s="59"/>
      <c r="F232" s="34"/>
      <c r="G232" s="34"/>
      <c r="H232" s="34"/>
      <c r="I232" s="34"/>
      <c r="J232" s="34"/>
    </row>
    <row r="233" ht="15.75" customHeight="1">
      <c r="A233" s="14" t="s">
        <v>815</v>
      </c>
      <c r="B233" s="14" t="s">
        <v>76</v>
      </c>
      <c r="C233" s="14" t="s">
        <v>464</v>
      </c>
      <c r="D233" s="14" t="s">
        <v>952</v>
      </c>
      <c r="E233" s="14" t="s">
        <v>273</v>
      </c>
      <c r="F233" s="14" t="s">
        <v>218</v>
      </c>
      <c r="G233" s="14" t="s">
        <v>373</v>
      </c>
      <c r="H233" s="14" t="s">
        <v>268</v>
      </c>
      <c r="I233" s="14" t="s">
        <v>101</v>
      </c>
      <c r="J233" s="14" t="s">
        <v>953</v>
      </c>
    </row>
    <row r="234" ht="15.75" customHeight="1">
      <c r="A234" s="14" t="s">
        <v>815</v>
      </c>
      <c r="B234" s="14" t="s">
        <v>76</v>
      </c>
      <c r="C234" s="14" t="s">
        <v>464</v>
      </c>
      <c r="D234" s="14" t="s">
        <v>954</v>
      </c>
      <c r="E234" s="14" t="s">
        <v>278</v>
      </c>
      <c r="F234" s="14" t="s">
        <v>218</v>
      </c>
      <c r="G234" s="14" t="s">
        <v>381</v>
      </c>
      <c r="H234" s="14" t="s">
        <v>268</v>
      </c>
      <c r="I234" s="14" t="s">
        <v>101</v>
      </c>
      <c r="J234" s="14" t="s">
        <v>955</v>
      </c>
    </row>
    <row r="235" ht="15.75" customHeight="1">
      <c r="A235" s="14" t="s">
        <v>815</v>
      </c>
      <c r="B235" s="14" t="s">
        <v>76</v>
      </c>
      <c r="C235" s="14" t="s">
        <v>464</v>
      </c>
      <c r="D235" s="14" t="s">
        <v>956</v>
      </c>
      <c r="E235" s="14" t="s">
        <v>283</v>
      </c>
      <c r="F235" s="14" t="s">
        <v>218</v>
      </c>
      <c r="G235" s="14" t="s">
        <v>388</v>
      </c>
      <c r="H235" s="14" t="s">
        <v>268</v>
      </c>
      <c r="I235" s="14" t="s">
        <v>101</v>
      </c>
      <c r="J235" s="14" t="s">
        <v>926</v>
      </c>
    </row>
    <row r="236" ht="15.75" customHeight="1">
      <c r="A236" s="14" t="s">
        <v>815</v>
      </c>
      <c r="B236" s="14" t="s">
        <v>76</v>
      </c>
      <c r="C236" s="14" t="s">
        <v>464</v>
      </c>
      <c r="D236" s="14" t="s">
        <v>958</v>
      </c>
      <c r="E236" s="14" t="s">
        <v>392</v>
      </c>
      <c r="F236" s="14" t="s">
        <v>218</v>
      </c>
      <c r="G236" s="14" t="s">
        <v>396</v>
      </c>
      <c r="H236" s="14" t="s">
        <v>268</v>
      </c>
      <c r="I236" s="14" t="s">
        <v>101</v>
      </c>
      <c r="J236" s="14" t="s">
        <v>929</v>
      </c>
    </row>
    <row r="237" ht="15.75" customHeight="1">
      <c r="A237" s="14" t="s">
        <v>815</v>
      </c>
      <c r="B237" s="14" t="s">
        <v>76</v>
      </c>
      <c r="C237" s="14" t="s">
        <v>464</v>
      </c>
      <c r="D237" s="14" t="s">
        <v>958</v>
      </c>
      <c r="E237" s="14" t="s">
        <v>411</v>
      </c>
      <c r="F237" s="14" t="s">
        <v>218</v>
      </c>
      <c r="G237" s="14" t="s">
        <v>396</v>
      </c>
      <c r="H237" s="14" t="s">
        <v>268</v>
      </c>
      <c r="I237" s="14" t="s">
        <v>101</v>
      </c>
      <c r="J237" s="14" t="s">
        <v>930</v>
      </c>
    </row>
    <row r="238" ht="15.75" customHeight="1">
      <c r="A238" s="14" t="s">
        <v>815</v>
      </c>
      <c r="B238" s="14" t="s">
        <v>76</v>
      </c>
      <c r="C238" s="14" t="s">
        <v>464</v>
      </c>
      <c r="D238" s="14" t="s">
        <v>962</v>
      </c>
      <c r="E238" s="14" t="s">
        <v>306</v>
      </c>
      <c r="F238" s="14" t="s">
        <v>218</v>
      </c>
      <c r="G238" s="14" t="s">
        <v>405</v>
      </c>
      <c r="H238" s="14" t="s">
        <v>268</v>
      </c>
      <c r="I238" s="14" t="s">
        <v>101</v>
      </c>
      <c r="J238" s="14" t="s">
        <v>932</v>
      </c>
    </row>
    <row r="239" ht="15.75" customHeight="1">
      <c r="A239" s="14" t="s">
        <v>815</v>
      </c>
      <c r="B239" s="14" t="s">
        <v>76</v>
      </c>
      <c r="C239" s="14" t="s">
        <v>464</v>
      </c>
      <c r="D239" s="14" t="s">
        <v>965</v>
      </c>
      <c r="E239" s="14" t="s">
        <v>415</v>
      </c>
      <c r="F239" s="14" t="s">
        <v>218</v>
      </c>
      <c r="G239" s="14" t="s">
        <v>419</v>
      </c>
      <c r="H239" s="14" t="s">
        <v>268</v>
      </c>
      <c r="I239" s="14" t="s">
        <v>101</v>
      </c>
      <c r="J239" s="14" t="s">
        <v>934</v>
      </c>
    </row>
    <row r="240" ht="15.75" customHeight="1">
      <c r="A240" s="14" t="s">
        <v>815</v>
      </c>
      <c r="B240" s="14" t="s">
        <v>76</v>
      </c>
      <c r="C240" s="14" t="s">
        <v>464</v>
      </c>
      <c r="D240" s="14" t="s">
        <v>965</v>
      </c>
      <c r="E240" s="14" t="s">
        <v>425</v>
      </c>
      <c r="F240" s="14" t="s">
        <v>218</v>
      </c>
      <c r="G240" s="14" t="s">
        <v>419</v>
      </c>
      <c r="H240" s="14" t="s">
        <v>268</v>
      </c>
      <c r="I240" s="14" t="s">
        <v>101</v>
      </c>
      <c r="J240" s="14" t="s">
        <v>968</v>
      </c>
    </row>
    <row r="241" ht="15.75" customHeight="1">
      <c r="A241" s="14" t="s">
        <v>815</v>
      </c>
      <c r="B241" s="14" t="s">
        <v>76</v>
      </c>
      <c r="C241" s="14" t="s">
        <v>464</v>
      </c>
      <c r="D241" s="14" t="s">
        <v>969</v>
      </c>
      <c r="E241" s="14" t="s">
        <v>329</v>
      </c>
      <c r="F241" s="14" t="s">
        <v>218</v>
      </c>
      <c r="G241" s="14" t="s">
        <v>432</v>
      </c>
      <c r="H241" s="14" t="s">
        <v>268</v>
      </c>
      <c r="I241" s="14" t="s">
        <v>101</v>
      </c>
      <c r="J241" s="14" t="s">
        <v>937</v>
      </c>
    </row>
    <row r="242" ht="15.75" customHeight="1">
      <c r="A242" s="14" t="s">
        <v>815</v>
      </c>
      <c r="B242" s="14" t="s">
        <v>76</v>
      </c>
      <c r="C242" s="14" t="s">
        <v>464</v>
      </c>
      <c r="D242" s="14" t="s">
        <v>972</v>
      </c>
      <c r="E242" s="14" t="s">
        <v>337</v>
      </c>
      <c r="F242" s="14" t="s">
        <v>218</v>
      </c>
      <c r="G242" s="14" t="s">
        <v>441</v>
      </c>
      <c r="H242" s="14" t="s">
        <v>268</v>
      </c>
      <c r="I242" s="14" t="s">
        <v>101</v>
      </c>
      <c r="J242" s="14" t="s">
        <v>974</v>
      </c>
    </row>
    <row r="243" ht="15.75" customHeight="1">
      <c r="A243" s="14" t="s">
        <v>815</v>
      </c>
      <c r="B243" s="14" t="s">
        <v>76</v>
      </c>
      <c r="C243" s="14" t="s">
        <v>464</v>
      </c>
      <c r="D243" s="14" t="s">
        <v>975</v>
      </c>
      <c r="E243" s="14" t="s">
        <v>273</v>
      </c>
      <c r="F243" s="14" t="s">
        <v>101</v>
      </c>
      <c r="G243" s="14" t="s">
        <v>268</v>
      </c>
      <c r="H243" s="14" t="s">
        <v>268</v>
      </c>
      <c r="I243" s="14" t="s">
        <v>101</v>
      </c>
      <c r="J243" s="14" t="s">
        <v>977</v>
      </c>
    </row>
    <row r="244" ht="15.75" customHeight="1">
      <c r="A244" s="14" t="s">
        <v>815</v>
      </c>
      <c r="B244" s="14" t="s">
        <v>76</v>
      </c>
      <c r="C244" s="14" t="s">
        <v>464</v>
      </c>
      <c r="D244" s="14" t="s">
        <v>975</v>
      </c>
      <c r="E244" s="14" t="s">
        <v>278</v>
      </c>
      <c r="F244" s="14" t="s">
        <v>101</v>
      </c>
      <c r="G244" s="14" t="s">
        <v>268</v>
      </c>
      <c r="H244" s="14" t="s">
        <v>268</v>
      </c>
      <c r="I244" s="14" t="s">
        <v>101</v>
      </c>
      <c r="J244" s="14" t="s">
        <v>978</v>
      </c>
    </row>
    <row r="245" ht="15.75" customHeight="1">
      <c r="A245" s="14" t="s">
        <v>815</v>
      </c>
      <c r="B245" s="14" t="s">
        <v>76</v>
      </c>
      <c r="C245" s="14" t="s">
        <v>464</v>
      </c>
      <c r="D245" s="14" t="s">
        <v>975</v>
      </c>
      <c r="E245" s="14" t="s">
        <v>283</v>
      </c>
      <c r="F245" s="14" t="s">
        <v>101</v>
      </c>
      <c r="G245" s="14" t="s">
        <v>268</v>
      </c>
      <c r="H245" s="14" t="s">
        <v>268</v>
      </c>
      <c r="I245" s="14" t="s">
        <v>101</v>
      </c>
      <c r="J245" s="14" t="s">
        <v>979</v>
      </c>
    </row>
    <row r="246" ht="15.75" customHeight="1">
      <c r="A246" s="14" t="s">
        <v>815</v>
      </c>
      <c r="B246" s="14" t="s">
        <v>76</v>
      </c>
      <c r="C246" s="14" t="s">
        <v>464</v>
      </c>
      <c r="D246" s="14" t="s">
        <v>975</v>
      </c>
      <c r="E246" s="14" t="s">
        <v>392</v>
      </c>
      <c r="F246" s="14" t="s">
        <v>101</v>
      </c>
      <c r="G246" s="14" t="s">
        <v>268</v>
      </c>
      <c r="H246" s="14" t="s">
        <v>268</v>
      </c>
      <c r="I246" s="14" t="s">
        <v>101</v>
      </c>
      <c r="J246" s="14" t="s">
        <v>982</v>
      </c>
    </row>
    <row r="247" ht="15.75" customHeight="1">
      <c r="A247" s="14"/>
      <c r="B247" s="14"/>
      <c r="C247" s="14"/>
      <c r="D247" s="14"/>
      <c r="E247" s="14"/>
      <c r="F247" s="16"/>
      <c r="G247" s="16"/>
      <c r="H247" s="16"/>
      <c r="I247" s="16"/>
      <c r="J247" s="16"/>
    </row>
    <row r="248" ht="15.75" customHeight="1">
      <c r="A248" s="14"/>
      <c r="B248" s="14"/>
      <c r="C248" s="14"/>
      <c r="D248" s="14"/>
      <c r="E248" s="14"/>
      <c r="F248" s="16"/>
      <c r="G248" s="16"/>
      <c r="H248" s="16"/>
      <c r="I248" s="16"/>
      <c r="J248" s="16"/>
    </row>
    <row r="249" ht="15.75" customHeight="1">
      <c r="A249" s="14"/>
      <c r="B249" s="14"/>
      <c r="C249" s="14"/>
      <c r="D249" s="14"/>
      <c r="E249" s="14"/>
      <c r="F249" s="16"/>
      <c r="G249" s="16"/>
      <c r="H249" s="16"/>
      <c r="I249" s="16"/>
      <c r="J249" s="16"/>
    </row>
    <row r="250" ht="15.75" customHeight="1">
      <c r="A250" s="14"/>
      <c r="B250" s="14"/>
      <c r="C250" s="14"/>
      <c r="D250" s="14"/>
      <c r="E250" s="14"/>
      <c r="F250" s="16"/>
      <c r="G250" s="16"/>
      <c r="H250" s="16"/>
      <c r="I250" s="16"/>
      <c r="J250" s="16"/>
    </row>
    <row r="251" ht="15.75" customHeight="1">
      <c r="A251" s="14"/>
      <c r="B251" s="14"/>
      <c r="C251" s="14"/>
      <c r="D251" s="14"/>
      <c r="E251" s="14"/>
      <c r="F251" s="16"/>
      <c r="G251" s="16"/>
      <c r="H251" s="16"/>
      <c r="I251" s="16"/>
      <c r="J251" s="16"/>
    </row>
    <row r="252" ht="15.75" customHeight="1">
      <c r="A252" s="14"/>
      <c r="B252" s="14"/>
      <c r="C252" s="14"/>
      <c r="D252" s="14"/>
      <c r="E252" s="14"/>
      <c r="F252" s="16"/>
      <c r="G252" s="16"/>
      <c r="H252" s="16"/>
      <c r="I252" s="16"/>
      <c r="J252" s="16"/>
    </row>
    <row r="253" ht="15.75" customHeight="1">
      <c r="A253" s="14"/>
      <c r="B253" s="14"/>
      <c r="C253" s="14"/>
      <c r="D253" s="14"/>
      <c r="E253" s="14"/>
      <c r="F253" s="16"/>
      <c r="G253" s="16"/>
      <c r="H253" s="16"/>
      <c r="I253" s="16"/>
      <c r="J253" s="16"/>
    </row>
    <row r="254" ht="15.75" customHeight="1">
      <c r="A254" s="14"/>
      <c r="B254" s="14"/>
      <c r="C254" s="14"/>
      <c r="D254" s="14"/>
      <c r="E254" s="14"/>
      <c r="F254" s="16"/>
      <c r="G254" s="16"/>
      <c r="H254" s="16"/>
      <c r="I254" s="16"/>
      <c r="J254" s="16"/>
    </row>
    <row r="255" ht="15.75" customHeight="1">
      <c r="A255" s="14"/>
      <c r="B255" s="14"/>
      <c r="C255" s="14"/>
      <c r="D255" s="14"/>
      <c r="E255" s="14"/>
      <c r="F255" s="16"/>
      <c r="G255" s="16"/>
      <c r="H255" s="16"/>
      <c r="I255" s="16"/>
      <c r="J255" s="16"/>
    </row>
    <row r="256" ht="15.75" customHeight="1">
      <c r="A256" s="14"/>
      <c r="B256" s="14"/>
      <c r="C256" s="14"/>
      <c r="D256" s="14"/>
      <c r="E256" s="14"/>
      <c r="F256" s="16"/>
      <c r="G256" s="16"/>
      <c r="H256" s="16"/>
      <c r="I256" s="16"/>
      <c r="J256" s="16"/>
    </row>
    <row r="257" ht="15.75" customHeight="1">
      <c r="A257" s="14"/>
      <c r="B257" s="14"/>
      <c r="C257" s="14"/>
      <c r="D257" s="14"/>
      <c r="E257" s="14"/>
      <c r="F257" s="16"/>
      <c r="G257" s="16"/>
      <c r="H257" s="16"/>
      <c r="I257" s="16"/>
      <c r="J257" s="16"/>
    </row>
    <row r="258" ht="15.75" customHeight="1">
      <c r="A258" s="14"/>
      <c r="B258" s="14"/>
      <c r="C258" s="14"/>
      <c r="D258" s="14"/>
      <c r="E258" s="14"/>
      <c r="F258" s="16"/>
      <c r="G258" s="16"/>
      <c r="H258" s="16"/>
      <c r="I258" s="16"/>
      <c r="J258" s="16"/>
    </row>
    <row r="259" ht="15.75" customHeight="1">
      <c r="A259" s="14"/>
      <c r="B259" s="14"/>
      <c r="C259" s="14"/>
      <c r="D259" s="14"/>
      <c r="E259" s="14"/>
      <c r="F259" s="16"/>
      <c r="G259" s="16"/>
      <c r="H259" s="16"/>
      <c r="I259" s="16"/>
      <c r="J259" s="16"/>
    </row>
    <row r="260" ht="15.75" customHeight="1">
      <c r="A260" s="14"/>
      <c r="B260" s="14"/>
      <c r="C260" s="14"/>
      <c r="D260" s="14"/>
      <c r="E260" s="14"/>
      <c r="F260" s="16"/>
      <c r="G260" s="16"/>
      <c r="H260" s="16"/>
      <c r="I260" s="16"/>
      <c r="J260" s="16"/>
    </row>
    <row r="261" ht="15.75" customHeight="1">
      <c r="A261" s="14"/>
      <c r="B261" s="14"/>
      <c r="C261" s="14"/>
      <c r="D261" s="14"/>
      <c r="E261" s="14"/>
      <c r="F261" s="16"/>
      <c r="G261" s="16"/>
      <c r="H261" s="16"/>
      <c r="I261" s="16"/>
      <c r="J261" s="16"/>
    </row>
    <row r="262" ht="15.75" customHeight="1">
      <c r="A262" s="14"/>
      <c r="B262" s="14"/>
      <c r="C262" s="14"/>
      <c r="D262" s="14"/>
      <c r="E262" s="14"/>
      <c r="F262" s="16"/>
      <c r="G262" s="16"/>
      <c r="H262" s="16"/>
      <c r="I262" s="16"/>
      <c r="J262" s="16"/>
    </row>
    <row r="263" ht="15.75" customHeight="1">
      <c r="A263" s="14"/>
      <c r="B263" s="14"/>
      <c r="C263" s="14"/>
      <c r="D263" s="14"/>
      <c r="E263" s="14"/>
      <c r="F263" s="16"/>
      <c r="G263" s="16"/>
      <c r="H263" s="16"/>
      <c r="I263" s="16"/>
      <c r="J263" s="16"/>
    </row>
    <row r="264" ht="15.75" customHeight="1">
      <c r="A264" s="14"/>
      <c r="B264" s="14"/>
      <c r="C264" s="14"/>
      <c r="D264" s="14"/>
      <c r="E264" s="14"/>
      <c r="F264" s="16"/>
      <c r="G264" s="16"/>
      <c r="H264" s="16"/>
      <c r="I264" s="16"/>
      <c r="J264" s="16"/>
    </row>
    <row r="265" ht="15.75" customHeight="1">
      <c r="A265" s="14"/>
      <c r="B265" s="14"/>
      <c r="C265" s="14"/>
      <c r="D265" s="14"/>
      <c r="E265" s="14"/>
      <c r="F265" s="16"/>
      <c r="G265" s="16"/>
      <c r="H265" s="16"/>
      <c r="I265" s="16"/>
      <c r="J265" s="16"/>
    </row>
    <row r="266" ht="15.75" customHeight="1">
      <c r="A266" s="14"/>
      <c r="B266" s="14"/>
      <c r="C266" s="14"/>
      <c r="D266" s="14"/>
      <c r="E266" s="14"/>
      <c r="F266" s="16"/>
      <c r="G266" s="16"/>
      <c r="H266" s="16"/>
      <c r="I266" s="16"/>
      <c r="J266" s="16"/>
    </row>
    <row r="267" ht="15.75" customHeight="1">
      <c r="A267" s="14"/>
      <c r="B267" s="14"/>
      <c r="C267" s="14"/>
      <c r="D267" s="14"/>
      <c r="E267" s="14"/>
      <c r="F267" s="16"/>
      <c r="G267" s="16"/>
      <c r="H267" s="16"/>
      <c r="I267" s="16"/>
      <c r="J267" s="16"/>
    </row>
    <row r="268" ht="15.75" customHeight="1">
      <c r="A268" s="14"/>
      <c r="B268" s="14"/>
      <c r="C268" s="14"/>
      <c r="D268" s="14"/>
      <c r="E268" s="14"/>
      <c r="F268" s="16"/>
      <c r="G268" s="16"/>
      <c r="H268" s="16"/>
      <c r="I268" s="16"/>
      <c r="J268" s="16"/>
    </row>
    <row r="269" ht="15.75" customHeight="1">
      <c r="A269" s="14"/>
      <c r="B269" s="14"/>
      <c r="C269" s="14"/>
      <c r="D269" s="14"/>
      <c r="E269" s="14"/>
      <c r="F269" s="16"/>
      <c r="G269" s="16"/>
      <c r="H269" s="16"/>
      <c r="I269" s="16"/>
      <c r="J269" s="16"/>
    </row>
    <row r="270" ht="15.75" customHeight="1">
      <c r="A270" s="14"/>
      <c r="B270" s="14"/>
      <c r="C270" s="14"/>
      <c r="D270" s="14"/>
      <c r="E270" s="14"/>
      <c r="F270" s="16"/>
      <c r="G270" s="16"/>
      <c r="H270" s="16"/>
      <c r="I270" s="16"/>
      <c r="J270" s="16"/>
    </row>
    <row r="271" ht="15.75" customHeight="1">
      <c r="A271" s="14"/>
      <c r="B271" s="14"/>
      <c r="C271" s="14"/>
      <c r="D271" s="14"/>
      <c r="E271" s="14"/>
      <c r="F271" s="16"/>
      <c r="G271" s="16"/>
      <c r="H271" s="16"/>
      <c r="I271" s="16"/>
      <c r="J271" s="16"/>
    </row>
    <row r="272" ht="15.75" customHeight="1">
      <c r="A272" s="14"/>
      <c r="B272" s="14"/>
      <c r="C272" s="14"/>
      <c r="D272" s="14"/>
      <c r="E272" s="14"/>
      <c r="F272" s="16"/>
      <c r="G272" s="16"/>
      <c r="H272" s="16"/>
      <c r="I272" s="16"/>
      <c r="J272" s="16"/>
    </row>
    <row r="273" ht="15.75" customHeight="1">
      <c r="A273" s="14"/>
      <c r="B273" s="14"/>
      <c r="C273" s="14"/>
      <c r="D273" s="14"/>
      <c r="E273" s="14"/>
      <c r="F273" s="16"/>
      <c r="G273" s="16"/>
      <c r="H273" s="16"/>
      <c r="I273" s="16"/>
      <c r="J273" s="16"/>
    </row>
    <row r="274" ht="15.75" customHeight="1">
      <c r="A274" s="14"/>
      <c r="B274" s="14"/>
      <c r="C274" s="14"/>
      <c r="D274" s="14"/>
      <c r="E274" s="14"/>
      <c r="F274" s="16"/>
      <c r="G274" s="16"/>
      <c r="H274" s="16"/>
      <c r="I274" s="16"/>
      <c r="J274" s="16"/>
    </row>
    <row r="275" ht="15.75" customHeight="1">
      <c r="A275" s="14"/>
      <c r="B275" s="14"/>
      <c r="C275" s="14"/>
      <c r="D275" s="14"/>
      <c r="E275" s="14"/>
      <c r="F275" s="16"/>
      <c r="G275" s="16"/>
      <c r="H275" s="16"/>
      <c r="I275" s="16"/>
      <c r="J275" s="16"/>
    </row>
    <row r="276" ht="15.75" customHeight="1">
      <c r="A276" s="14"/>
      <c r="B276" s="14"/>
      <c r="C276" s="14"/>
      <c r="D276" s="14"/>
      <c r="E276" s="14"/>
      <c r="F276" s="16"/>
      <c r="G276" s="16"/>
      <c r="H276" s="16"/>
      <c r="I276" s="16"/>
      <c r="J276" s="16"/>
    </row>
    <row r="277" ht="15.75" customHeight="1">
      <c r="A277" s="14"/>
      <c r="B277" s="14"/>
      <c r="C277" s="14"/>
      <c r="D277" s="14"/>
      <c r="E277" s="14"/>
      <c r="F277" s="16"/>
      <c r="G277" s="16"/>
      <c r="H277" s="16"/>
      <c r="I277" s="16"/>
      <c r="J277" s="16"/>
    </row>
    <row r="278" ht="15.75" customHeight="1">
      <c r="A278" s="14"/>
      <c r="B278" s="14"/>
      <c r="C278" s="14"/>
      <c r="D278" s="14"/>
      <c r="E278" s="14"/>
      <c r="F278" s="16"/>
      <c r="G278" s="16"/>
      <c r="H278" s="16"/>
      <c r="I278" s="16"/>
      <c r="J278" s="16"/>
    </row>
    <row r="279" ht="15.75" customHeight="1">
      <c r="A279" s="14"/>
      <c r="B279" s="14"/>
      <c r="C279" s="14"/>
      <c r="D279" s="14"/>
      <c r="E279" s="14"/>
      <c r="F279" s="16"/>
      <c r="G279" s="16"/>
      <c r="H279" s="16"/>
      <c r="I279" s="16"/>
      <c r="J279" s="16"/>
    </row>
    <row r="280" ht="15.75" customHeight="1">
      <c r="A280" s="14"/>
      <c r="B280" s="14"/>
      <c r="C280" s="14"/>
      <c r="D280" s="14"/>
      <c r="E280" s="14"/>
      <c r="F280" s="16"/>
      <c r="G280" s="16"/>
      <c r="H280" s="16"/>
      <c r="I280" s="16"/>
      <c r="J280" s="16"/>
    </row>
    <row r="281" ht="15.75" customHeight="1">
      <c r="A281" s="14"/>
      <c r="B281" s="14"/>
      <c r="C281" s="14"/>
      <c r="D281" s="14"/>
      <c r="E281" s="14"/>
      <c r="F281" s="16"/>
      <c r="G281" s="16"/>
      <c r="H281" s="16"/>
      <c r="I281" s="16"/>
      <c r="J281" s="16"/>
    </row>
    <row r="282" ht="15.75" customHeight="1">
      <c r="A282" s="14"/>
      <c r="B282" s="14"/>
      <c r="C282" s="14"/>
      <c r="D282" s="14"/>
      <c r="E282" s="14"/>
      <c r="F282" s="16"/>
      <c r="G282" s="16"/>
      <c r="H282" s="16"/>
      <c r="I282" s="16"/>
      <c r="J282" s="16"/>
    </row>
    <row r="283" ht="15.75" customHeight="1">
      <c r="A283" s="14"/>
      <c r="B283" s="14"/>
      <c r="C283" s="14"/>
      <c r="D283" s="14"/>
      <c r="E283" s="14"/>
      <c r="F283" s="16"/>
      <c r="G283" s="16"/>
      <c r="H283" s="16"/>
      <c r="I283" s="16"/>
      <c r="J283" s="16"/>
    </row>
    <row r="284" ht="15.75" customHeight="1">
      <c r="A284" s="14"/>
      <c r="B284" s="14"/>
      <c r="C284" s="14"/>
      <c r="D284" s="14"/>
      <c r="E284" s="14"/>
      <c r="F284" s="16"/>
      <c r="G284" s="16"/>
      <c r="H284" s="16"/>
      <c r="I284" s="16"/>
      <c r="J284" s="16"/>
    </row>
    <row r="285" ht="15.75" customHeight="1">
      <c r="A285" s="14"/>
      <c r="B285" s="14"/>
      <c r="C285" s="14"/>
      <c r="D285" s="14"/>
      <c r="E285" s="14"/>
      <c r="F285" s="16"/>
      <c r="G285" s="16"/>
      <c r="H285" s="16"/>
      <c r="I285" s="16"/>
      <c r="J285" s="16"/>
    </row>
    <row r="286" ht="15.75" customHeight="1">
      <c r="A286" s="14"/>
      <c r="B286" s="14"/>
      <c r="C286" s="14"/>
      <c r="D286" s="14"/>
      <c r="E286" s="14"/>
      <c r="F286" s="16"/>
      <c r="G286" s="16"/>
      <c r="H286" s="16"/>
      <c r="I286" s="16"/>
      <c r="J286" s="16"/>
    </row>
    <row r="287" ht="15.75" customHeight="1">
      <c r="A287" s="14"/>
      <c r="B287" s="14"/>
      <c r="C287" s="14"/>
      <c r="D287" s="14"/>
      <c r="E287" s="14"/>
      <c r="F287" s="16"/>
      <c r="G287" s="16"/>
      <c r="H287" s="16"/>
      <c r="I287" s="16"/>
      <c r="J287" s="16"/>
    </row>
    <row r="288" ht="15.75" customHeight="1">
      <c r="A288" s="14"/>
      <c r="B288" s="14"/>
      <c r="C288" s="14"/>
      <c r="D288" s="14"/>
      <c r="E288" s="14"/>
      <c r="F288" s="16"/>
      <c r="G288" s="16"/>
      <c r="H288" s="16"/>
      <c r="I288" s="16"/>
      <c r="J288" s="16"/>
    </row>
    <row r="289" ht="15.75" customHeight="1">
      <c r="A289" s="14"/>
      <c r="B289" s="14"/>
      <c r="C289" s="14"/>
      <c r="D289" s="14"/>
      <c r="E289" s="14"/>
      <c r="F289" s="16"/>
      <c r="G289" s="16"/>
      <c r="H289" s="16"/>
      <c r="I289" s="16"/>
      <c r="J289" s="16"/>
    </row>
    <row r="290" ht="15.75" customHeight="1">
      <c r="A290" s="14"/>
      <c r="B290" s="14"/>
      <c r="C290" s="14"/>
      <c r="D290" s="14"/>
      <c r="E290" s="14"/>
      <c r="F290" s="16"/>
      <c r="G290" s="16"/>
      <c r="H290" s="16"/>
      <c r="I290" s="16"/>
      <c r="J290" s="16"/>
    </row>
    <row r="291" ht="15.75" customHeight="1">
      <c r="A291" s="14"/>
      <c r="B291" s="14"/>
      <c r="C291" s="14"/>
      <c r="D291" s="14"/>
      <c r="E291" s="14"/>
      <c r="F291" s="16"/>
      <c r="G291" s="16"/>
      <c r="H291" s="16"/>
      <c r="I291" s="16"/>
      <c r="J291" s="16"/>
    </row>
    <row r="292" ht="15.75" customHeight="1">
      <c r="A292" s="14"/>
      <c r="B292" s="14"/>
      <c r="C292" s="14"/>
      <c r="D292" s="14"/>
      <c r="E292" s="14"/>
      <c r="F292" s="16"/>
      <c r="G292" s="16"/>
      <c r="H292" s="16"/>
      <c r="I292" s="16"/>
      <c r="J292" s="16"/>
    </row>
    <row r="293" ht="15.75" customHeight="1">
      <c r="A293" s="14"/>
      <c r="B293" s="14"/>
      <c r="C293" s="14"/>
      <c r="D293" s="14"/>
      <c r="E293" s="14"/>
      <c r="F293" s="16"/>
      <c r="G293" s="16"/>
      <c r="H293" s="16"/>
      <c r="I293" s="16"/>
      <c r="J293" s="16"/>
    </row>
    <row r="294" ht="15.75" customHeight="1">
      <c r="A294" s="14"/>
      <c r="B294" s="14"/>
      <c r="C294" s="14"/>
      <c r="D294" s="14"/>
      <c r="E294" s="14"/>
      <c r="F294" s="16"/>
      <c r="G294" s="16"/>
      <c r="H294" s="16"/>
      <c r="I294" s="16"/>
      <c r="J294" s="16"/>
    </row>
    <row r="295" ht="15.75" customHeight="1">
      <c r="A295" s="14"/>
      <c r="B295" s="14"/>
      <c r="C295" s="14"/>
      <c r="D295" s="14"/>
      <c r="E295" s="14"/>
      <c r="F295" s="16"/>
      <c r="G295" s="16"/>
      <c r="H295" s="16"/>
      <c r="I295" s="16"/>
      <c r="J295" s="16"/>
    </row>
    <row r="296" ht="15.75" customHeight="1">
      <c r="A296" s="14"/>
      <c r="B296" s="14"/>
      <c r="C296" s="14"/>
      <c r="D296" s="14"/>
      <c r="E296" s="14"/>
      <c r="F296" s="16"/>
      <c r="G296" s="16"/>
      <c r="H296" s="16"/>
      <c r="I296" s="16"/>
      <c r="J296" s="16"/>
    </row>
    <row r="297" ht="15.75" customHeight="1">
      <c r="A297" s="14"/>
      <c r="B297" s="14"/>
      <c r="C297" s="14"/>
      <c r="D297" s="14"/>
      <c r="E297" s="14"/>
      <c r="F297" s="16"/>
      <c r="G297" s="16"/>
      <c r="H297" s="16"/>
      <c r="I297" s="16"/>
      <c r="J297" s="16"/>
    </row>
    <row r="298" ht="15.75" customHeight="1">
      <c r="A298" s="14"/>
      <c r="B298" s="14"/>
      <c r="C298" s="14"/>
      <c r="D298" s="14"/>
      <c r="E298" s="14"/>
      <c r="F298" s="16"/>
      <c r="G298" s="16"/>
      <c r="H298" s="16"/>
      <c r="I298" s="16"/>
      <c r="J298" s="16"/>
    </row>
    <row r="299" ht="15.75" customHeight="1">
      <c r="A299" s="14"/>
      <c r="B299" s="14"/>
      <c r="C299" s="14"/>
      <c r="D299" s="14"/>
      <c r="E299" s="14"/>
      <c r="F299" s="16"/>
      <c r="G299" s="16"/>
      <c r="H299" s="16"/>
      <c r="I299" s="16"/>
      <c r="J299" s="16"/>
    </row>
    <row r="300" ht="15.75" customHeight="1">
      <c r="A300" s="14"/>
      <c r="B300" s="14"/>
      <c r="C300" s="14"/>
      <c r="D300" s="14"/>
      <c r="E300" s="14"/>
      <c r="F300" s="16"/>
      <c r="G300" s="16"/>
      <c r="H300" s="16"/>
      <c r="I300" s="16"/>
      <c r="J300" s="16"/>
    </row>
    <row r="301" ht="15.75" customHeight="1">
      <c r="A301" s="14"/>
      <c r="B301" s="14"/>
      <c r="C301" s="14"/>
      <c r="D301" s="14"/>
      <c r="E301" s="14"/>
      <c r="F301" s="16"/>
      <c r="G301" s="16"/>
      <c r="H301" s="16"/>
      <c r="I301" s="16"/>
      <c r="J301" s="16"/>
    </row>
    <row r="302" ht="15.75" customHeight="1">
      <c r="A302" s="14"/>
      <c r="B302" s="14"/>
      <c r="C302" s="14"/>
      <c r="D302" s="14"/>
      <c r="E302" s="14"/>
      <c r="F302" s="16"/>
      <c r="G302" s="16"/>
      <c r="H302" s="16"/>
      <c r="I302" s="16"/>
      <c r="J302" s="16"/>
    </row>
    <row r="303" ht="15.75" customHeight="1">
      <c r="A303" s="14"/>
      <c r="B303" s="14"/>
      <c r="C303" s="14"/>
      <c r="D303" s="14"/>
      <c r="E303" s="14"/>
      <c r="F303" s="16"/>
      <c r="G303" s="16"/>
      <c r="H303" s="16"/>
      <c r="I303" s="16"/>
      <c r="J303" s="16"/>
    </row>
    <row r="304" ht="15.75" customHeight="1">
      <c r="A304" s="14"/>
      <c r="B304" s="14"/>
      <c r="C304" s="14"/>
      <c r="D304" s="14"/>
      <c r="E304" s="14"/>
      <c r="F304" s="16"/>
      <c r="G304" s="16"/>
      <c r="H304" s="16"/>
      <c r="I304" s="16"/>
      <c r="J304" s="16"/>
    </row>
    <row r="305" ht="15.75" customHeight="1">
      <c r="A305" s="14"/>
      <c r="B305" s="14"/>
      <c r="C305" s="14"/>
      <c r="D305" s="14"/>
      <c r="E305" s="14"/>
      <c r="F305" s="16"/>
      <c r="G305" s="16"/>
      <c r="H305" s="16"/>
      <c r="I305" s="16"/>
      <c r="J305" s="16"/>
    </row>
    <row r="306" ht="15.75" customHeight="1">
      <c r="A306" s="14"/>
      <c r="B306" s="14"/>
      <c r="C306" s="14"/>
      <c r="D306" s="14"/>
      <c r="E306" s="14"/>
      <c r="F306" s="16"/>
      <c r="G306" s="16"/>
      <c r="H306" s="16"/>
      <c r="I306" s="16"/>
      <c r="J306" s="16"/>
    </row>
    <row r="307" ht="15.75" customHeight="1">
      <c r="A307" s="14"/>
      <c r="B307" s="14"/>
      <c r="C307" s="14"/>
      <c r="D307" s="14"/>
      <c r="E307" s="14"/>
      <c r="F307" s="16"/>
      <c r="G307" s="16"/>
      <c r="H307" s="16"/>
      <c r="I307" s="16"/>
      <c r="J307" s="16"/>
    </row>
    <row r="308" ht="15.75" customHeight="1">
      <c r="A308" s="14"/>
      <c r="B308" s="14"/>
      <c r="C308" s="14"/>
      <c r="D308" s="14"/>
      <c r="E308" s="14"/>
      <c r="F308" s="16"/>
      <c r="G308" s="16"/>
      <c r="H308" s="16"/>
      <c r="I308" s="16"/>
      <c r="J308" s="16"/>
    </row>
    <row r="309" ht="15.75" customHeight="1">
      <c r="A309" s="14"/>
      <c r="B309" s="14"/>
      <c r="C309" s="14"/>
      <c r="D309" s="14"/>
      <c r="E309" s="14"/>
      <c r="F309" s="16"/>
      <c r="G309" s="16"/>
      <c r="H309" s="16"/>
      <c r="I309" s="16"/>
      <c r="J309" s="16"/>
    </row>
    <row r="310" ht="15.75" customHeight="1">
      <c r="A310" s="14"/>
      <c r="B310" s="14"/>
      <c r="C310" s="14"/>
      <c r="D310" s="14"/>
      <c r="E310" s="14"/>
      <c r="F310" s="16"/>
      <c r="G310" s="16"/>
      <c r="H310" s="16"/>
      <c r="I310" s="16"/>
      <c r="J310" s="16"/>
    </row>
    <row r="311" ht="15.75" customHeight="1">
      <c r="A311" s="14"/>
      <c r="B311" s="14"/>
      <c r="C311" s="14"/>
      <c r="D311" s="14"/>
      <c r="E311" s="14"/>
      <c r="F311" s="16"/>
      <c r="G311" s="16"/>
      <c r="H311" s="16"/>
      <c r="I311" s="16"/>
      <c r="J311" s="16"/>
    </row>
    <row r="312" ht="15.75" customHeight="1">
      <c r="A312" s="14"/>
      <c r="B312" s="14"/>
      <c r="C312" s="14"/>
      <c r="D312" s="14"/>
      <c r="E312" s="14"/>
      <c r="F312" s="16"/>
      <c r="G312" s="16"/>
      <c r="H312" s="16"/>
      <c r="I312" s="16"/>
      <c r="J312" s="16"/>
    </row>
    <row r="313" ht="15.75" customHeight="1">
      <c r="A313" s="14"/>
      <c r="B313" s="14"/>
      <c r="C313" s="14"/>
      <c r="D313" s="14"/>
      <c r="E313" s="14"/>
      <c r="F313" s="16"/>
      <c r="G313" s="16"/>
      <c r="H313" s="16"/>
      <c r="I313" s="16"/>
      <c r="J313" s="16"/>
    </row>
    <row r="314" ht="15.75" customHeight="1">
      <c r="A314" s="14"/>
      <c r="B314" s="14"/>
      <c r="C314" s="14"/>
      <c r="D314" s="14"/>
      <c r="E314" s="14"/>
      <c r="F314" s="16"/>
      <c r="G314" s="16"/>
      <c r="H314" s="16"/>
      <c r="I314" s="16"/>
      <c r="J314" s="16"/>
    </row>
    <row r="315" ht="15.75" customHeight="1">
      <c r="A315" s="14"/>
      <c r="B315" s="14"/>
      <c r="C315" s="14"/>
      <c r="D315" s="14"/>
      <c r="E315" s="14"/>
      <c r="F315" s="16"/>
      <c r="G315" s="16"/>
      <c r="H315" s="16"/>
      <c r="I315" s="16"/>
      <c r="J315" s="16"/>
    </row>
    <row r="316" ht="15.75" customHeight="1">
      <c r="A316" s="14"/>
      <c r="B316" s="14"/>
      <c r="C316" s="14"/>
      <c r="D316" s="14"/>
      <c r="E316" s="14"/>
      <c r="F316" s="16"/>
      <c r="G316" s="16"/>
      <c r="H316" s="16"/>
      <c r="I316" s="16"/>
      <c r="J316" s="16"/>
    </row>
    <row r="317" ht="15.75" customHeight="1">
      <c r="A317" s="14"/>
      <c r="B317" s="14"/>
      <c r="C317" s="14"/>
      <c r="D317" s="14"/>
      <c r="E317" s="14"/>
      <c r="F317" s="16"/>
      <c r="G317" s="16"/>
      <c r="H317" s="16"/>
      <c r="I317" s="16"/>
      <c r="J317" s="16"/>
    </row>
    <row r="318" ht="15.75" customHeight="1">
      <c r="A318" s="14"/>
      <c r="B318" s="14"/>
      <c r="C318" s="14"/>
      <c r="D318" s="14"/>
      <c r="E318" s="14"/>
      <c r="F318" s="16"/>
      <c r="G318" s="16"/>
      <c r="H318" s="16"/>
      <c r="I318" s="16"/>
      <c r="J318" s="16"/>
    </row>
    <row r="319" ht="15.75" customHeight="1">
      <c r="A319" s="14"/>
      <c r="B319" s="14"/>
      <c r="C319" s="14"/>
      <c r="D319" s="14"/>
      <c r="E319" s="14"/>
      <c r="F319" s="16"/>
      <c r="G319" s="16"/>
      <c r="H319" s="16"/>
      <c r="I319" s="16"/>
      <c r="J319" s="16"/>
    </row>
    <row r="320" ht="15.75" customHeight="1">
      <c r="A320" s="14"/>
      <c r="B320" s="14"/>
      <c r="C320" s="14"/>
      <c r="D320" s="14"/>
      <c r="E320" s="14"/>
      <c r="F320" s="16"/>
      <c r="G320" s="16"/>
      <c r="H320" s="16"/>
      <c r="I320" s="16"/>
      <c r="J320" s="16"/>
    </row>
    <row r="321" ht="15.75" customHeight="1">
      <c r="A321" s="14"/>
      <c r="B321" s="14"/>
      <c r="C321" s="14"/>
      <c r="D321" s="14"/>
      <c r="E321" s="14"/>
      <c r="F321" s="16"/>
      <c r="G321" s="16"/>
      <c r="H321" s="16"/>
      <c r="I321" s="16"/>
      <c r="J321" s="16"/>
    </row>
    <row r="322" ht="15.75" customHeight="1">
      <c r="A322" s="14"/>
      <c r="B322" s="14"/>
      <c r="C322" s="14"/>
      <c r="D322" s="14"/>
      <c r="E322" s="14"/>
      <c r="F322" s="16"/>
      <c r="G322" s="16"/>
      <c r="H322" s="16"/>
      <c r="I322" s="16"/>
      <c r="J322" s="16"/>
    </row>
    <row r="323" ht="15.75" customHeight="1">
      <c r="A323" s="14"/>
      <c r="B323" s="14"/>
      <c r="C323" s="14"/>
      <c r="D323" s="14"/>
      <c r="E323" s="14"/>
      <c r="F323" s="16"/>
      <c r="G323" s="16"/>
      <c r="H323" s="16"/>
      <c r="I323" s="16"/>
      <c r="J323" s="16"/>
    </row>
    <row r="324" ht="15.75" customHeight="1">
      <c r="A324" s="14"/>
      <c r="B324" s="14"/>
      <c r="C324" s="14"/>
      <c r="D324" s="14"/>
      <c r="E324" s="14"/>
      <c r="F324" s="16"/>
      <c r="G324" s="16"/>
      <c r="H324" s="16"/>
      <c r="I324" s="16"/>
      <c r="J324" s="16"/>
    </row>
    <row r="325" ht="15.75" customHeight="1">
      <c r="A325" s="14"/>
      <c r="B325" s="14"/>
      <c r="C325" s="14"/>
      <c r="D325" s="14"/>
      <c r="E325" s="14"/>
      <c r="F325" s="16"/>
      <c r="G325" s="16"/>
      <c r="H325" s="16"/>
      <c r="I325" s="16"/>
      <c r="J325" s="16"/>
    </row>
    <row r="326" ht="15.75" customHeight="1">
      <c r="A326" s="14"/>
      <c r="B326" s="14"/>
      <c r="C326" s="14"/>
      <c r="D326" s="14"/>
      <c r="E326" s="14"/>
      <c r="F326" s="16"/>
      <c r="G326" s="16"/>
      <c r="H326" s="16"/>
      <c r="I326" s="16"/>
      <c r="J326" s="16"/>
    </row>
    <row r="327" ht="15.75" customHeight="1">
      <c r="A327" s="14"/>
      <c r="B327" s="14"/>
      <c r="C327" s="14"/>
      <c r="D327" s="14"/>
      <c r="E327" s="14"/>
      <c r="F327" s="16"/>
      <c r="G327" s="16"/>
      <c r="H327" s="16"/>
      <c r="I327" s="16"/>
      <c r="J327" s="16"/>
    </row>
    <row r="328" ht="15.75" customHeight="1">
      <c r="A328" s="14"/>
      <c r="B328" s="14"/>
      <c r="C328" s="14"/>
      <c r="D328" s="14"/>
      <c r="E328" s="14"/>
      <c r="F328" s="16"/>
      <c r="G328" s="16"/>
      <c r="H328" s="16"/>
      <c r="I328" s="16"/>
      <c r="J328" s="16"/>
    </row>
    <row r="329" ht="15.75" customHeight="1">
      <c r="A329" s="14"/>
      <c r="B329" s="14"/>
      <c r="C329" s="14"/>
      <c r="D329" s="14"/>
      <c r="E329" s="14"/>
      <c r="F329" s="16"/>
      <c r="G329" s="16"/>
      <c r="H329" s="16"/>
      <c r="I329" s="16"/>
      <c r="J329" s="16"/>
    </row>
    <row r="330" ht="15.75" customHeight="1">
      <c r="A330" s="14"/>
      <c r="B330" s="14"/>
      <c r="C330" s="14"/>
      <c r="D330" s="14"/>
      <c r="E330" s="14"/>
      <c r="F330" s="16"/>
      <c r="G330" s="16"/>
      <c r="H330" s="16"/>
      <c r="I330" s="16"/>
      <c r="J330" s="16"/>
    </row>
    <row r="331" ht="15.75" customHeight="1">
      <c r="A331" s="14"/>
      <c r="B331" s="14"/>
      <c r="C331" s="14"/>
      <c r="D331" s="14"/>
      <c r="E331" s="14"/>
      <c r="F331" s="16"/>
      <c r="G331" s="16"/>
      <c r="H331" s="16"/>
      <c r="I331" s="16"/>
      <c r="J331" s="16"/>
    </row>
    <row r="332" ht="15.75" customHeight="1">
      <c r="A332" s="14"/>
      <c r="B332" s="14"/>
      <c r="C332" s="14"/>
      <c r="D332" s="14"/>
      <c r="E332" s="14"/>
      <c r="F332" s="16"/>
      <c r="G332" s="16"/>
      <c r="H332" s="16"/>
      <c r="I332" s="16"/>
      <c r="J332" s="16"/>
    </row>
    <row r="333" ht="15.75" customHeight="1">
      <c r="A333" s="14"/>
      <c r="B333" s="14"/>
      <c r="C333" s="14"/>
      <c r="D333" s="14"/>
      <c r="E333" s="14"/>
      <c r="F333" s="16"/>
      <c r="G333" s="16"/>
      <c r="H333" s="16"/>
      <c r="I333" s="16"/>
      <c r="J333" s="16"/>
    </row>
    <row r="334" ht="15.75" customHeight="1">
      <c r="A334" s="14"/>
      <c r="B334" s="14"/>
      <c r="C334" s="14"/>
      <c r="D334" s="14"/>
      <c r="E334" s="14"/>
      <c r="F334" s="16"/>
      <c r="G334" s="16"/>
      <c r="H334" s="16"/>
      <c r="I334" s="16"/>
      <c r="J334" s="16"/>
    </row>
    <row r="335" ht="15.75" customHeight="1">
      <c r="A335" s="14"/>
      <c r="B335" s="14"/>
      <c r="C335" s="14"/>
      <c r="D335" s="14"/>
      <c r="E335" s="14"/>
      <c r="F335" s="16"/>
      <c r="G335" s="16"/>
      <c r="H335" s="16"/>
      <c r="I335" s="16"/>
      <c r="J335" s="16"/>
    </row>
    <row r="336" ht="15.75" customHeight="1">
      <c r="A336" s="14"/>
      <c r="B336" s="14"/>
      <c r="C336" s="14"/>
      <c r="D336" s="14"/>
      <c r="E336" s="14"/>
      <c r="F336" s="16"/>
      <c r="G336" s="16"/>
      <c r="H336" s="16"/>
      <c r="I336" s="16"/>
      <c r="J336" s="16"/>
    </row>
    <row r="337" ht="15.75" customHeight="1">
      <c r="A337" s="14"/>
      <c r="B337" s="14"/>
      <c r="C337" s="14"/>
      <c r="D337" s="14"/>
      <c r="E337" s="14"/>
      <c r="F337" s="16"/>
      <c r="G337" s="16"/>
      <c r="H337" s="16"/>
      <c r="I337" s="16"/>
      <c r="J337" s="16"/>
    </row>
    <row r="338" ht="15.75" customHeight="1">
      <c r="A338" s="14"/>
      <c r="B338" s="14"/>
      <c r="C338" s="14"/>
      <c r="D338" s="14"/>
      <c r="E338" s="14"/>
      <c r="F338" s="16"/>
      <c r="G338" s="16"/>
      <c r="H338" s="16"/>
      <c r="I338" s="16"/>
      <c r="J338" s="16"/>
    </row>
    <row r="339" ht="15.75" customHeight="1">
      <c r="A339" s="14"/>
      <c r="B339" s="14"/>
      <c r="C339" s="14"/>
      <c r="D339" s="14"/>
      <c r="E339" s="14"/>
      <c r="F339" s="16"/>
      <c r="G339" s="16"/>
      <c r="H339" s="16"/>
      <c r="I339" s="16"/>
      <c r="J339" s="16"/>
    </row>
    <row r="340" ht="15.75" customHeight="1">
      <c r="A340" s="14"/>
      <c r="B340" s="14"/>
      <c r="C340" s="14"/>
      <c r="D340" s="14"/>
      <c r="E340" s="14"/>
      <c r="F340" s="16"/>
      <c r="G340" s="16"/>
      <c r="H340" s="16"/>
      <c r="I340" s="16"/>
      <c r="J340" s="16"/>
    </row>
    <row r="341" ht="15.75" customHeight="1">
      <c r="A341" s="14"/>
      <c r="B341" s="14"/>
      <c r="C341" s="14"/>
      <c r="D341" s="14"/>
      <c r="E341" s="14"/>
      <c r="F341" s="16"/>
      <c r="G341" s="16"/>
      <c r="H341" s="16"/>
      <c r="I341" s="16"/>
      <c r="J341" s="16"/>
    </row>
    <row r="342" ht="15.75" customHeight="1">
      <c r="A342" s="14"/>
      <c r="B342" s="14"/>
      <c r="C342" s="14"/>
      <c r="D342" s="14"/>
      <c r="E342" s="14"/>
      <c r="F342" s="16"/>
      <c r="G342" s="16"/>
      <c r="H342" s="16"/>
      <c r="I342" s="16"/>
      <c r="J342" s="16"/>
    </row>
    <row r="343" ht="15.75" customHeight="1">
      <c r="A343" s="14"/>
      <c r="B343" s="14"/>
      <c r="C343" s="14"/>
      <c r="D343" s="14"/>
      <c r="E343" s="14"/>
      <c r="F343" s="16"/>
      <c r="G343" s="16"/>
      <c r="H343" s="16"/>
      <c r="I343" s="16"/>
      <c r="J343" s="16"/>
    </row>
    <row r="344" ht="15.75" customHeight="1">
      <c r="A344" s="14"/>
      <c r="B344" s="14"/>
      <c r="C344" s="14"/>
      <c r="D344" s="14"/>
      <c r="E344" s="14"/>
      <c r="F344" s="16"/>
      <c r="G344" s="16"/>
      <c r="H344" s="16"/>
      <c r="I344" s="16"/>
      <c r="J344" s="16"/>
    </row>
    <row r="345" ht="15.75" customHeight="1">
      <c r="A345" s="14"/>
      <c r="B345" s="14"/>
      <c r="C345" s="14"/>
      <c r="D345" s="14"/>
      <c r="E345" s="14"/>
      <c r="F345" s="16"/>
      <c r="G345" s="16"/>
      <c r="H345" s="16"/>
      <c r="I345" s="16"/>
      <c r="J345" s="16"/>
    </row>
    <row r="346" ht="15.75" customHeight="1">
      <c r="A346" s="14"/>
      <c r="B346" s="14"/>
      <c r="C346" s="14"/>
      <c r="D346" s="14"/>
      <c r="E346" s="14"/>
      <c r="F346" s="16"/>
      <c r="G346" s="16"/>
      <c r="H346" s="16"/>
      <c r="I346" s="16"/>
      <c r="J346" s="16"/>
    </row>
    <row r="347" ht="15.75" customHeight="1">
      <c r="A347" s="14"/>
      <c r="B347" s="14"/>
      <c r="C347" s="14"/>
      <c r="D347" s="14"/>
      <c r="E347" s="14"/>
      <c r="F347" s="16"/>
      <c r="G347" s="16"/>
      <c r="H347" s="16"/>
      <c r="I347" s="16"/>
      <c r="J347" s="16"/>
    </row>
    <row r="348" ht="15.75" customHeight="1">
      <c r="A348" s="14"/>
      <c r="B348" s="14"/>
      <c r="C348" s="14"/>
      <c r="D348" s="14"/>
      <c r="E348" s="14"/>
      <c r="F348" s="16"/>
      <c r="G348" s="16"/>
      <c r="H348" s="16"/>
      <c r="I348" s="16"/>
      <c r="J348" s="16"/>
    </row>
    <row r="349" ht="15.75" customHeight="1">
      <c r="A349" s="14"/>
      <c r="B349" s="14"/>
      <c r="C349" s="14"/>
      <c r="D349" s="14"/>
      <c r="E349" s="14"/>
      <c r="F349" s="16"/>
      <c r="G349" s="16"/>
      <c r="H349" s="16"/>
      <c r="I349" s="16"/>
      <c r="J349" s="16"/>
    </row>
    <row r="350" ht="15.75" customHeight="1">
      <c r="A350" s="14"/>
      <c r="B350" s="14"/>
      <c r="C350" s="14"/>
      <c r="D350" s="14"/>
      <c r="E350" s="14"/>
      <c r="F350" s="16"/>
      <c r="G350" s="16"/>
      <c r="H350" s="16"/>
      <c r="I350" s="16"/>
      <c r="J350" s="16"/>
    </row>
    <row r="351" ht="15.75" customHeight="1">
      <c r="A351" s="14"/>
      <c r="B351" s="14"/>
      <c r="C351" s="14"/>
      <c r="D351" s="14"/>
      <c r="E351" s="14"/>
      <c r="F351" s="16"/>
      <c r="G351" s="16"/>
      <c r="H351" s="16"/>
      <c r="I351" s="16"/>
      <c r="J351" s="16"/>
    </row>
    <row r="352" ht="15.75" customHeight="1">
      <c r="A352" s="14"/>
      <c r="B352" s="14"/>
      <c r="C352" s="14"/>
      <c r="D352" s="14"/>
      <c r="E352" s="14"/>
      <c r="F352" s="16"/>
      <c r="G352" s="16"/>
      <c r="H352" s="16"/>
      <c r="I352" s="16"/>
      <c r="J352" s="16"/>
    </row>
    <row r="353" ht="15.75" customHeight="1">
      <c r="A353" s="14"/>
      <c r="B353" s="14"/>
      <c r="C353" s="14"/>
      <c r="D353" s="14"/>
      <c r="E353" s="14"/>
      <c r="F353" s="16"/>
      <c r="G353" s="16"/>
      <c r="H353" s="16"/>
      <c r="I353" s="16"/>
      <c r="J353" s="16"/>
    </row>
    <row r="354" ht="15.75" customHeight="1">
      <c r="A354" s="14"/>
      <c r="B354" s="14"/>
      <c r="C354" s="14"/>
      <c r="D354" s="14"/>
      <c r="E354" s="14"/>
      <c r="F354" s="16"/>
      <c r="G354" s="16"/>
      <c r="H354" s="16"/>
      <c r="I354" s="16"/>
      <c r="J354" s="16"/>
    </row>
    <row r="355" ht="15.75" customHeight="1">
      <c r="A355" s="14"/>
      <c r="B355" s="14"/>
      <c r="C355" s="14"/>
      <c r="D355" s="14"/>
      <c r="E355" s="14"/>
      <c r="F355" s="16"/>
      <c r="G355" s="16"/>
      <c r="H355" s="16"/>
      <c r="I355" s="16"/>
      <c r="J355" s="16"/>
    </row>
    <row r="356" ht="15.75" customHeight="1">
      <c r="A356" s="14"/>
      <c r="B356" s="14"/>
      <c r="C356" s="14"/>
      <c r="D356" s="14"/>
      <c r="E356" s="14"/>
      <c r="F356" s="16"/>
      <c r="G356" s="16"/>
      <c r="H356" s="16"/>
      <c r="I356" s="16"/>
      <c r="J356" s="16"/>
    </row>
    <row r="357" ht="15.75" customHeight="1">
      <c r="A357" s="14"/>
      <c r="B357" s="14"/>
      <c r="C357" s="14"/>
      <c r="D357" s="14"/>
      <c r="E357" s="14"/>
      <c r="F357" s="16"/>
      <c r="G357" s="16"/>
      <c r="H357" s="16"/>
      <c r="I357" s="16"/>
      <c r="J357" s="16"/>
    </row>
    <row r="358" ht="15.75" customHeight="1">
      <c r="A358" s="14"/>
      <c r="B358" s="14"/>
      <c r="C358" s="14"/>
      <c r="D358" s="14"/>
      <c r="E358" s="14"/>
      <c r="F358" s="16"/>
      <c r="G358" s="16"/>
      <c r="H358" s="16"/>
      <c r="I358" s="16"/>
      <c r="J358" s="16"/>
    </row>
    <row r="359" ht="15.75" customHeight="1">
      <c r="A359" s="14"/>
      <c r="B359" s="14"/>
      <c r="C359" s="14"/>
      <c r="D359" s="14"/>
      <c r="E359" s="14"/>
      <c r="F359" s="16"/>
      <c r="G359" s="16"/>
      <c r="H359" s="16"/>
      <c r="I359" s="16"/>
      <c r="J359" s="16"/>
    </row>
    <row r="360" ht="15.75" customHeight="1">
      <c r="A360" s="14"/>
      <c r="B360" s="14"/>
      <c r="C360" s="14"/>
      <c r="D360" s="14"/>
      <c r="E360" s="14"/>
      <c r="F360" s="16"/>
      <c r="G360" s="16"/>
      <c r="H360" s="16"/>
      <c r="I360" s="16"/>
      <c r="J360" s="16"/>
    </row>
    <row r="361" ht="15.75" customHeight="1">
      <c r="A361" s="14"/>
      <c r="B361" s="14"/>
      <c r="C361" s="14"/>
      <c r="D361" s="14"/>
      <c r="E361" s="14"/>
      <c r="F361" s="16"/>
      <c r="G361" s="16"/>
      <c r="H361" s="16"/>
      <c r="I361" s="16"/>
      <c r="J361" s="16"/>
    </row>
    <row r="362" ht="15.75" customHeight="1">
      <c r="A362" s="14"/>
      <c r="B362" s="14"/>
      <c r="C362" s="14"/>
      <c r="D362" s="14"/>
      <c r="E362" s="14"/>
      <c r="F362" s="16"/>
      <c r="G362" s="16"/>
      <c r="H362" s="16"/>
      <c r="I362" s="16"/>
      <c r="J362" s="16"/>
    </row>
    <row r="363" ht="15.75" customHeight="1">
      <c r="A363" s="14"/>
      <c r="B363" s="14"/>
      <c r="C363" s="14"/>
      <c r="D363" s="14"/>
      <c r="E363" s="14"/>
      <c r="F363" s="16"/>
      <c r="G363" s="16"/>
      <c r="H363" s="16"/>
      <c r="I363" s="16"/>
      <c r="J363" s="16"/>
    </row>
    <row r="364" ht="15.75" customHeight="1">
      <c r="A364" s="14"/>
      <c r="B364" s="14"/>
      <c r="C364" s="14"/>
      <c r="D364" s="14"/>
      <c r="E364" s="14"/>
      <c r="F364" s="16"/>
      <c r="G364" s="16"/>
      <c r="H364" s="16"/>
      <c r="I364" s="16"/>
      <c r="J364" s="16"/>
    </row>
    <row r="365" ht="15.75" customHeight="1">
      <c r="A365" s="14"/>
      <c r="B365" s="14"/>
      <c r="C365" s="14"/>
      <c r="D365" s="14"/>
      <c r="E365" s="14"/>
      <c r="F365" s="16"/>
      <c r="G365" s="16"/>
      <c r="H365" s="16"/>
      <c r="I365" s="16"/>
      <c r="J365" s="16"/>
    </row>
    <row r="366" ht="15.75" customHeight="1">
      <c r="A366" s="14"/>
      <c r="B366" s="14"/>
      <c r="C366" s="14"/>
      <c r="D366" s="14"/>
      <c r="E366" s="14"/>
      <c r="F366" s="16"/>
      <c r="G366" s="16"/>
      <c r="H366" s="16"/>
      <c r="I366" s="16"/>
      <c r="J366" s="16"/>
    </row>
    <row r="367" ht="15.75" customHeight="1">
      <c r="A367" s="14"/>
      <c r="B367" s="14"/>
      <c r="C367" s="14"/>
      <c r="D367" s="14"/>
      <c r="E367" s="14"/>
      <c r="F367" s="16"/>
      <c r="G367" s="16"/>
      <c r="H367" s="16"/>
      <c r="I367" s="16"/>
      <c r="J367" s="16"/>
    </row>
    <row r="368" ht="15.75" customHeight="1">
      <c r="A368" s="14"/>
      <c r="B368" s="14"/>
      <c r="C368" s="14"/>
      <c r="D368" s="14"/>
      <c r="E368" s="14"/>
      <c r="F368" s="16"/>
      <c r="G368" s="16"/>
      <c r="H368" s="16"/>
      <c r="I368" s="16"/>
      <c r="J368" s="16"/>
    </row>
    <row r="369" ht="15.75" customHeight="1">
      <c r="A369" s="14"/>
      <c r="B369" s="14"/>
      <c r="C369" s="14"/>
      <c r="D369" s="14"/>
      <c r="E369" s="14"/>
      <c r="F369" s="16"/>
      <c r="G369" s="16"/>
      <c r="H369" s="16"/>
      <c r="I369" s="16"/>
      <c r="J369" s="16"/>
    </row>
    <row r="370" ht="15.75" customHeight="1">
      <c r="A370" s="14"/>
      <c r="B370" s="14"/>
      <c r="C370" s="14"/>
      <c r="D370" s="14"/>
      <c r="E370" s="14"/>
      <c r="F370" s="16"/>
      <c r="G370" s="16"/>
      <c r="H370" s="16"/>
      <c r="I370" s="16"/>
      <c r="J370" s="16"/>
    </row>
    <row r="371" ht="15.75" customHeight="1">
      <c r="A371" s="14"/>
      <c r="B371" s="14"/>
      <c r="C371" s="14"/>
      <c r="D371" s="14"/>
      <c r="E371" s="14"/>
      <c r="F371" s="16"/>
      <c r="G371" s="16"/>
      <c r="H371" s="16"/>
      <c r="I371" s="16"/>
      <c r="J371" s="16"/>
    </row>
    <row r="372" ht="15.75" customHeight="1">
      <c r="A372" s="14"/>
      <c r="B372" s="14"/>
      <c r="C372" s="14"/>
      <c r="D372" s="14"/>
      <c r="E372" s="14"/>
      <c r="F372" s="16"/>
      <c r="G372" s="16"/>
      <c r="H372" s="16"/>
      <c r="I372" s="16"/>
      <c r="J372" s="16"/>
    </row>
    <row r="373" ht="15.75" customHeight="1">
      <c r="A373" s="14"/>
      <c r="B373" s="14"/>
      <c r="C373" s="14"/>
      <c r="D373" s="14"/>
      <c r="E373" s="14"/>
      <c r="F373" s="16"/>
      <c r="G373" s="16"/>
      <c r="H373" s="16"/>
      <c r="I373" s="16"/>
      <c r="J373" s="16"/>
    </row>
    <row r="374" ht="15.75" customHeight="1">
      <c r="A374" s="14"/>
      <c r="B374" s="14"/>
      <c r="C374" s="14"/>
      <c r="D374" s="14"/>
      <c r="E374" s="14"/>
      <c r="F374" s="16"/>
      <c r="G374" s="16"/>
      <c r="H374" s="16"/>
      <c r="I374" s="16"/>
      <c r="J374" s="16"/>
    </row>
    <row r="375" ht="15.75" customHeight="1">
      <c r="A375" s="14"/>
      <c r="B375" s="14"/>
      <c r="C375" s="14"/>
      <c r="D375" s="14"/>
      <c r="E375" s="14"/>
      <c r="F375" s="16"/>
      <c r="G375" s="16"/>
      <c r="H375" s="16"/>
      <c r="I375" s="16"/>
      <c r="J375" s="16"/>
    </row>
    <row r="376" ht="15.75" customHeight="1">
      <c r="A376" s="14"/>
      <c r="B376" s="14"/>
      <c r="C376" s="14"/>
      <c r="D376" s="14"/>
      <c r="E376" s="14"/>
      <c r="F376" s="16"/>
      <c r="G376" s="16"/>
      <c r="H376" s="16"/>
      <c r="I376" s="16"/>
      <c r="J376" s="16"/>
    </row>
    <row r="377" ht="15.75" customHeight="1">
      <c r="A377" s="14"/>
      <c r="B377" s="14"/>
      <c r="C377" s="14"/>
      <c r="D377" s="14"/>
      <c r="E377" s="14"/>
      <c r="F377" s="16"/>
      <c r="G377" s="16"/>
      <c r="H377" s="16"/>
      <c r="I377" s="16"/>
      <c r="J377" s="16"/>
    </row>
    <row r="378" ht="15.75" customHeight="1">
      <c r="A378" s="14"/>
      <c r="B378" s="14"/>
      <c r="C378" s="14"/>
      <c r="D378" s="14"/>
      <c r="E378" s="14"/>
      <c r="F378" s="16"/>
      <c r="G378" s="16"/>
      <c r="H378" s="16"/>
      <c r="I378" s="16"/>
      <c r="J378" s="16"/>
    </row>
    <row r="379" ht="15.75" customHeight="1">
      <c r="A379" s="14"/>
      <c r="B379" s="14"/>
      <c r="C379" s="14"/>
      <c r="D379" s="14"/>
      <c r="E379" s="14"/>
      <c r="F379" s="16"/>
      <c r="G379" s="16"/>
      <c r="H379" s="16"/>
      <c r="I379" s="16"/>
      <c r="J379" s="16"/>
    </row>
    <row r="380" ht="15.75" customHeight="1">
      <c r="A380" s="14"/>
      <c r="B380" s="14"/>
      <c r="C380" s="14"/>
      <c r="D380" s="14"/>
      <c r="E380" s="14"/>
      <c r="F380" s="16"/>
      <c r="G380" s="16"/>
      <c r="H380" s="16"/>
      <c r="I380" s="16"/>
      <c r="J380" s="16"/>
    </row>
    <row r="381" ht="15.75" customHeight="1">
      <c r="A381" s="14"/>
      <c r="B381" s="14"/>
      <c r="C381" s="14"/>
      <c r="D381" s="14"/>
      <c r="E381" s="14"/>
      <c r="F381" s="16"/>
      <c r="G381" s="16"/>
      <c r="H381" s="16"/>
      <c r="I381" s="16"/>
      <c r="J381" s="16"/>
    </row>
    <row r="382" ht="15.75" customHeight="1">
      <c r="A382" s="14"/>
      <c r="B382" s="14"/>
      <c r="C382" s="14"/>
      <c r="D382" s="14"/>
      <c r="E382" s="14"/>
      <c r="F382" s="16"/>
      <c r="G382" s="16"/>
      <c r="H382" s="16"/>
      <c r="I382" s="16"/>
      <c r="J382" s="16"/>
    </row>
    <row r="383" ht="15.75" customHeight="1">
      <c r="A383" s="14"/>
      <c r="B383" s="14"/>
      <c r="C383" s="14"/>
      <c r="D383" s="14"/>
      <c r="E383" s="14"/>
      <c r="F383" s="16"/>
      <c r="G383" s="16"/>
      <c r="H383" s="16"/>
      <c r="I383" s="16"/>
      <c r="J383" s="16"/>
    </row>
    <row r="384" ht="15.75" customHeight="1">
      <c r="A384" s="14"/>
      <c r="B384" s="14"/>
      <c r="C384" s="14"/>
      <c r="D384" s="14"/>
      <c r="E384" s="14"/>
      <c r="F384" s="16"/>
      <c r="G384" s="16"/>
      <c r="H384" s="16"/>
      <c r="I384" s="16"/>
      <c r="J384" s="16"/>
    </row>
    <row r="385" ht="15.75" customHeight="1">
      <c r="A385" s="14"/>
      <c r="B385" s="14"/>
      <c r="C385" s="14"/>
      <c r="D385" s="14"/>
      <c r="E385" s="14"/>
      <c r="F385" s="16"/>
      <c r="G385" s="16"/>
      <c r="H385" s="16"/>
      <c r="I385" s="16"/>
      <c r="J385" s="16"/>
    </row>
    <row r="386" ht="15.75" customHeight="1">
      <c r="A386" s="14"/>
      <c r="B386" s="14"/>
      <c r="C386" s="14"/>
      <c r="D386" s="14"/>
      <c r="E386" s="14"/>
      <c r="F386" s="16"/>
      <c r="G386" s="16"/>
      <c r="H386" s="16"/>
      <c r="I386" s="16"/>
      <c r="J386" s="16"/>
    </row>
    <row r="387" ht="15.75" customHeight="1">
      <c r="A387" s="14"/>
      <c r="B387" s="14"/>
      <c r="C387" s="14"/>
      <c r="D387" s="14"/>
      <c r="E387" s="14"/>
      <c r="F387" s="16"/>
      <c r="G387" s="16"/>
      <c r="H387" s="16"/>
      <c r="I387" s="16"/>
      <c r="J387" s="16"/>
    </row>
    <row r="388" ht="15.75" customHeight="1">
      <c r="A388" s="14"/>
      <c r="B388" s="14"/>
      <c r="C388" s="14"/>
      <c r="D388" s="14"/>
      <c r="E388" s="14"/>
      <c r="F388" s="16"/>
      <c r="G388" s="16"/>
      <c r="H388" s="16"/>
      <c r="I388" s="16"/>
      <c r="J388" s="16"/>
    </row>
    <row r="389" ht="15.75" customHeight="1">
      <c r="A389" s="14"/>
      <c r="B389" s="14"/>
      <c r="C389" s="14"/>
      <c r="D389" s="14"/>
      <c r="E389" s="14"/>
      <c r="F389" s="16"/>
      <c r="G389" s="16"/>
      <c r="H389" s="16"/>
      <c r="I389" s="16"/>
      <c r="J389" s="16"/>
    </row>
    <row r="390" ht="15.75" customHeight="1">
      <c r="A390" s="14"/>
      <c r="B390" s="14"/>
      <c r="C390" s="14"/>
      <c r="D390" s="14"/>
      <c r="E390" s="14"/>
      <c r="F390" s="16"/>
      <c r="G390" s="16"/>
      <c r="H390" s="16"/>
      <c r="I390" s="16"/>
      <c r="J390" s="16"/>
    </row>
    <row r="391" ht="15.75" customHeight="1">
      <c r="A391" s="14"/>
      <c r="B391" s="14"/>
      <c r="C391" s="14"/>
      <c r="D391" s="14"/>
      <c r="E391" s="14"/>
      <c r="F391" s="16"/>
      <c r="G391" s="16"/>
      <c r="H391" s="16"/>
      <c r="I391" s="16"/>
      <c r="J391" s="16"/>
    </row>
    <row r="392" ht="15.75" customHeight="1">
      <c r="A392" s="14"/>
      <c r="B392" s="14"/>
      <c r="C392" s="14"/>
      <c r="D392" s="14"/>
      <c r="E392" s="14"/>
      <c r="F392" s="16"/>
      <c r="G392" s="16"/>
      <c r="H392" s="16"/>
      <c r="I392" s="16"/>
      <c r="J392" s="16"/>
    </row>
    <row r="393" ht="15.75" customHeight="1">
      <c r="A393" s="14"/>
      <c r="B393" s="14"/>
      <c r="C393" s="14"/>
      <c r="D393" s="14"/>
      <c r="E393" s="14"/>
      <c r="F393" s="16"/>
      <c r="G393" s="16"/>
      <c r="H393" s="16"/>
      <c r="I393" s="16"/>
      <c r="J393" s="16"/>
    </row>
    <row r="394" ht="15.75" customHeight="1">
      <c r="A394" s="14"/>
      <c r="B394" s="14"/>
      <c r="C394" s="14"/>
      <c r="D394" s="14"/>
      <c r="E394" s="14"/>
      <c r="F394" s="16"/>
      <c r="G394" s="16"/>
      <c r="H394" s="16"/>
      <c r="I394" s="16"/>
      <c r="J394" s="16"/>
    </row>
    <row r="395" ht="15.75" customHeight="1">
      <c r="A395" s="14"/>
      <c r="B395" s="14"/>
      <c r="C395" s="14"/>
      <c r="D395" s="14"/>
      <c r="E395" s="14"/>
      <c r="F395" s="16"/>
      <c r="G395" s="16"/>
      <c r="H395" s="16"/>
      <c r="I395" s="16"/>
      <c r="J395" s="16"/>
    </row>
    <row r="396" ht="15.75" customHeight="1">
      <c r="A396" s="14"/>
      <c r="B396" s="14"/>
      <c r="C396" s="14"/>
      <c r="D396" s="14"/>
      <c r="E396" s="14"/>
      <c r="F396" s="16"/>
      <c r="G396" s="16"/>
      <c r="H396" s="16"/>
      <c r="I396" s="16"/>
      <c r="J396" s="16"/>
    </row>
    <row r="397" ht="15.75" customHeight="1">
      <c r="A397" s="14"/>
      <c r="B397" s="14"/>
      <c r="C397" s="14"/>
      <c r="D397" s="14"/>
      <c r="E397" s="14"/>
      <c r="F397" s="16"/>
      <c r="G397" s="16"/>
      <c r="H397" s="16"/>
      <c r="I397" s="16"/>
      <c r="J397" s="16"/>
    </row>
    <row r="398" ht="15.75" customHeight="1">
      <c r="A398" s="14"/>
      <c r="B398" s="14"/>
      <c r="C398" s="14"/>
      <c r="D398" s="14"/>
      <c r="E398" s="14"/>
      <c r="F398" s="16"/>
      <c r="G398" s="16"/>
      <c r="H398" s="16"/>
      <c r="I398" s="16"/>
      <c r="J398" s="16"/>
    </row>
    <row r="399" ht="15.75" customHeight="1">
      <c r="A399" s="14"/>
      <c r="B399" s="14"/>
      <c r="C399" s="14"/>
      <c r="D399" s="14"/>
      <c r="E399" s="14"/>
      <c r="F399" s="16"/>
      <c r="G399" s="16"/>
      <c r="H399" s="16"/>
      <c r="I399" s="16"/>
      <c r="J399" s="16"/>
    </row>
    <row r="400" ht="15.75" customHeight="1">
      <c r="A400" s="14"/>
      <c r="B400" s="14"/>
      <c r="C400" s="14"/>
      <c r="D400" s="14"/>
      <c r="E400" s="14"/>
      <c r="F400" s="16"/>
      <c r="G400" s="16"/>
      <c r="H400" s="16"/>
      <c r="I400" s="16"/>
      <c r="J400" s="16"/>
    </row>
    <row r="401" ht="15.75" customHeight="1">
      <c r="A401" s="14"/>
      <c r="B401" s="14"/>
      <c r="C401" s="14"/>
      <c r="D401" s="14"/>
      <c r="E401" s="14"/>
      <c r="F401" s="16"/>
      <c r="G401" s="16"/>
      <c r="H401" s="16"/>
      <c r="I401" s="16"/>
      <c r="J401" s="16"/>
    </row>
    <row r="402" ht="15.75" customHeight="1">
      <c r="A402" s="14"/>
      <c r="B402" s="14"/>
      <c r="C402" s="14"/>
      <c r="D402" s="14"/>
      <c r="E402" s="14"/>
      <c r="F402" s="16"/>
      <c r="G402" s="16"/>
      <c r="H402" s="16"/>
      <c r="I402" s="16"/>
      <c r="J402" s="16"/>
    </row>
    <row r="403" ht="15.75" customHeight="1">
      <c r="A403" s="14"/>
      <c r="B403" s="14"/>
      <c r="C403" s="14"/>
      <c r="D403" s="14"/>
      <c r="E403" s="14"/>
      <c r="F403" s="16"/>
      <c r="G403" s="16"/>
      <c r="H403" s="16"/>
      <c r="I403" s="16"/>
      <c r="J403" s="16"/>
    </row>
    <row r="404" ht="15.75" customHeight="1">
      <c r="A404" s="14"/>
      <c r="B404" s="14"/>
      <c r="C404" s="14"/>
      <c r="D404" s="14"/>
      <c r="E404" s="14"/>
      <c r="F404" s="16"/>
      <c r="G404" s="16"/>
      <c r="H404" s="16"/>
      <c r="I404" s="16"/>
      <c r="J404" s="16"/>
    </row>
    <row r="405" ht="15.75" customHeight="1">
      <c r="A405" s="14"/>
      <c r="B405" s="14"/>
      <c r="C405" s="14"/>
      <c r="D405" s="14"/>
      <c r="E405" s="14"/>
      <c r="F405" s="16"/>
      <c r="G405" s="16"/>
      <c r="H405" s="16"/>
      <c r="I405" s="16"/>
      <c r="J405" s="16"/>
    </row>
    <row r="406" ht="15.75" customHeight="1">
      <c r="A406" s="14"/>
      <c r="B406" s="14"/>
      <c r="C406" s="14"/>
      <c r="D406" s="14"/>
      <c r="E406" s="14"/>
      <c r="F406" s="16"/>
      <c r="G406" s="16"/>
      <c r="H406" s="16"/>
      <c r="I406" s="16"/>
      <c r="J406" s="16"/>
    </row>
    <row r="407" ht="15.75" customHeight="1">
      <c r="A407" s="14"/>
      <c r="B407" s="14"/>
      <c r="C407" s="14"/>
      <c r="D407" s="14"/>
      <c r="E407" s="14"/>
      <c r="F407" s="16"/>
      <c r="G407" s="16"/>
      <c r="H407" s="16"/>
      <c r="I407" s="16"/>
      <c r="J407" s="16"/>
    </row>
    <row r="408" ht="15.75" customHeight="1">
      <c r="A408" s="14"/>
      <c r="B408" s="14"/>
      <c r="C408" s="14"/>
      <c r="D408" s="14"/>
      <c r="E408" s="14"/>
      <c r="F408" s="16"/>
      <c r="G408" s="16"/>
      <c r="H408" s="16"/>
      <c r="I408" s="16"/>
      <c r="J408" s="16"/>
    </row>
    <row r="409" ht="15.75" customHeight="1">
      <c r="A409" s="14"/>
      <c r="B409" s="14"/>
      <c r="C409" s="14"/>
      <c r="D409" s="14"/>
      <c r="E409" s="14"/>
      <c r="F409" s="16"/>
      <c r="G409" s="16"/>
      <c r="H409" s="16"/>
      <c r="I409" s="16"/>
      <c r="J409" s="16"/>
    </row>
    <row r="410" ht="15.75" customHeight="1">
      <c r="A410" s="14"/>
      <c r="B410" s="14"/>
      <c r="C410" s="14"/>
      <c r="D410" s="14"/>
      <c r="E410" s="14"/>
      <c r="F410" s="16"/>
      <c r="G410" s="16"/>
      <c r="H410" s="16"/>
      <c r="I410" s="16"/>
      <c r="J410" s="16"/>
    </row>
    <row r="411" ht="15.75" customHeight="1">
      <c r="A411" s="14"/>
      <c r="B411" s="14"/>
      <c r="C411" s="14"/>
      <c r="D411" s="14"/>
      <c r="E411" s="14"/>
      <c r="F411" s="16"/>
      <c r="G411" s="16"/>
      <c r="H411" s="16"/>
      <c r="I411" s="16"/>
      <c r="J411" s="16"/>
    </row>
    <row r="412" ht="15.75" customHeight="1">
      <c r="A412" s="14"/>
      <c r="B412" s="14"/>
      <c r="C412" s="14"/>
      <c r="D412" s="14"/>
      <c r="E412" s="14"/>
      <c r="F412" s="16"/>
      <c r="G412" s="16"/>
      <c r="H412" s="16"/>
      <c r="I412" s="16"/>
      <c r="J412" s="16"/>
    </row>
    <row r="413" ht="15.75" customHeight="1">
      <c r="A413" s="14"/>
      <c r="B413" s="14"/>
      <c r="C413" s="14"/>
      <c r="D413" s="14"/>
      <c r="E413" s="14"/>
      <c r="F413" s="16"/>
      <c r="G413" s="16"/>
      <c r="H413" s="16"/>
      <c r="I413" s="16"/>
      <c r="J413" s="16"/>
    </row>
    <row r="414" ht="15.75" customHeight="1">
      <c r="A414" s="14"/>
      <c r="B414" s="14"/>
      <c r="C414" s="14"/>
      <c r="D414" s="14"/>
      <c r="E414" s="14"/>
      <c r="F414" s="16"/>
      <c r="G414" s="16"/>
      <c r="H414" s="16"/>
      <c r="I414" s="16"/>
      <c r="J414" s="16"/>
    </row>
    <row r="415" ht="15.75" customHeight="1">
      <c r="A415" s="14"/>
      <c r="B415" s="14"/>
      <c r="C415" s="14"/>
      <c r="D415" s="14"/>
      <c r="E415" s="14"/>
      <c r="F415" s="16"/>
      <c r="G415" s="16"/>
      <c r="H415" s="16"/>
      <c r="I415" s="16"/>
      <c r="J415" s="16"/>
    </row>
    <row r="416" ht="15.75" customHeight="1">
      <c r="A416" s="14"/>
      <c r="B416" s="14"/>
      <c r="C416" s="14"/>
      <c r="D416" s="14"/>
      <c r="E416" s="14"/>
      <c r="F416" s="16"/>
      <c r="G416" s="16"/>
      <c r="H416" s="16"/>
      <c r="I416" s="16"/>
      <c r="J416" s="16"/>
    </row>
    <row r="417" ht="15.75" customHeight="1">
      <c r="A417" s="14"/>
      <c r="B417" s="14"/>
      <c r="C417" s="14"/>
      <c r="D417" s="14"/>
      <c r="E417" s="14"/>
      <c r="F417" s="16"/>
      <c r="G417" s="16"/>
      <c r="H417" s="16"/>
      <c r="I417" s="16"/>
      <c r="J417" s="16"/>
    </row>
    <row r="418" ht="15.75" customHeight="1">
      <c r="A418" s="14"/>
      <c r="B418" s="14"/>
      <c r="C418" s="14"/>
      <c r="D418" s="14"/>
      <c r="E418" s="14"/>
      <c r="F418" s="16"/>
      <c r="G418" s="16"/>
      <c r="H418" s="16"/>
      <c r="I418" s="16"/>
      <c r="J418" s="16"/>
    </row>
    <row r="419" ht="15.75" customHeight="1">
      <c r="A419" s="14"/>
      <c r="B419" s="14"/>
      <c r="C419" s="14"/>
      <c r="D419" s="14"/>
      <c r="E419" s="14"/>
      <c r="F419" s="16"/>
      <c r="G419" s="16"/>
      <c r="H419" s="16"/>
      <c r="I419" s="16"/>
      <c r="J419" s="16"/>
    </row>
    <row r="420" ht="15.75" customHeight="1">
      <c r="A420" s="14"/>
      <c r="B420" s="14"/>
      <c r="C420" s="14"/>
      <c r="D420" s="14"/>
      <c r="E420" s="14"/>
      <c r="F420" s="16"/>
      <c r="G420" s="16"/>
      <c r="H420" s="16"/>
      <c r="I420" s="16"/>
      <c r="J420" s="16"/>
    </row>
    <row r="421" ht="15.75" customHeight="1">
      <c r="A421" s="14"/>
      <c r="B421" s="14"/>
      <c r="C421" s="14"/>
      <c r="D421" s="14"/>
      <c r="E421" s="14"/>
      <c r="F421" s="16"/>
      <c r="G421" s="16"/>
      <c r="H421" s="16"/>
      <c r="I421" s="16"/>
      <c r="J421" s="16"/>
    </row>
    <row r="422" ht="15.75" customHeight="1">
      <c r="A422" s="14"/>
      <c r="B422" s="14"/>
      <c r="C422" s="14"/>
      <c r="D422" s="14"/>
      <c r="E422" s="14"/>
      <c r="F422" s="16"/>
      <c r="G422" s="16"/>
      <c r="H422" s="16"/>
      <c r="I422" s="16"/>
      <c r="J422" s="16"/>
    </row>
    <row r="423" ht="15.75" customHeight="1">
      <c r="A423" s="14"/>
      <c r="B423" s="14"/>
      <c r="C423" s="14"/>
      <c r="D423" s="14"/>
      <c r="E423" s="14"/>
      <c r="F423" s="16"/>
      <c r="G423" s="16"/>
      <c r="H423" s="16"/>
      <c r="I423" s="16"/>
      <c r="J423" s="16"/>
    </row>
    <row r="424" ht="15.75" customHeight="1">
      <c r="A424" s="14"/>
      <c r="B424" s="14"/>
      <c r="C424" s="14"/>
      <c r="D424" s="14"/>
      <c r="E424" s="14"/>
      <c r="F424" s="16"/>
      <c r="G424" s="16"/>
      <c r="H424" s="16"/>
      <c r="I424" s="16"/>
      <c r="J424" s="16"/>
    </row>
    <row r="425" ht="15.75" customHeight="1">
      <c r="A425" s="14"/>
      <c r="B425" s="14"/>
      <c r="C425" s="14"/>
      <c r="D425" s="14"/>
      <c r="E425" s="14"/>
      <c r="F425" s="16"/>
      <c r="G425" s="16"/>
      <c r="H425" s="16"/>
      <c r="I425" s="16"/>
      <c r="J425" s="16"/>
    </row>
    <row r="426" ht="15.75" customHeight="1">
      <c r="A426" s="14"/>
      <c r="B426" s="14"/>
      <c r="C426" s="14"/>
      <c r="D426" s="14"/>
      <c r="E426" s="14"/>
      <c r="F426" s="16"/>
      <c r="G426" s="16"/>
      <c r="H426" s="16"/>
      <c r="I426" s="16"/>
      <c r="J426" s="16"/>
    </row>
    <row r="427" ht="15.75" customHeight="1">
      <c r="A427" s="14"/>
      <c r="B427" s="14"/>
      <c r="C427" s="14"/>
      <c r="D427" s="14"/>
      <c r="E427" s="14"/>
      <c r="F427" s="16"/>
      <c r="G427" s="16"/>
      <c r="H427" s="16"/>
      <c r="I427" s="16"/>
      <c r="J427" s="16"/>
    </row>
    <row r="428" ht="15.75" customHeight="1">
      <c r="A428" s="14"/>
      <c r="B428" s="14"/>
      <c r="C428" s="14"/>
      <c r="D428" s="14"/>
      <c r="E428" s="14"/>
      <c r="F428" s="16"/>
      <c r="G428" s="16"/>
      <c r="H428" s="16"/>
      <c r="I428" s="16"/>
      <c r="J428" s="16"/>
    </row>
    <row r="429" ht="15.75" customHeight="1">
      <c r="A429" s="14"/>
      <c r="B429" s="14"/>
      <c r="C429" s="14"/>
      <c r="D429" s="14"/>
      <c r="E429" s="14"/>
      <c r="F429" s="16"/>
      <c r="G429" s="16"/>
      <c r="H429" s="16"/>
      <c r="I429" s="16"/>
      <c r="J429" s="16"/>
    </row>
    <row r="430" ht="15.75" customHeight="1">
      <c r="A430" s="14"/>
      <c r="B430" s="14"/>
      <c r="C430" s="14"/>
      <c r="D430" s="14"/>
      <c r="E430" s="14"/>
      <c r="F430" s="16"/>
      <c r="G430" s="16"/>
      <c r="H430" s="16"/>
      <c r="I430" s="16"/>
      <c r="J430" s="16"/>
    </row>
    <row r="431" ht="15.75" customHeight="1">
      <c r="A431" s="14"/>
      <c r="B431" s="14"/>
      <c r="C431" s="14"/>
      <c r="D431" s="14"/>
      <c r="E431" s="14"/>
      <c r="F431" s="16"/>
      <c r="G431" s="16"/>
      <c r="H431" s="16"/>
      <c r="I431" s="16"/>
      <c r="J431" s="16"/>
    </row>
    <row r="432" ht="15.75" customHeight="1">
      <c r="A432" s="14"/>
      <c r="B432" s="14"/>
      <c r="C432" s="14"/>
      <c r="D432" s="14"/>
      <c r="E432" s="14"/>
      <c r="F432" s="16"/>
      <c r="G432" s="16"/>
      <c r="H432" s="16"/>
      <c r="I432" s="16"/>
      <c r="J432" s="16"/>
    </row>
    <row r="433" ht="15.75" customHeight="1">
      <c r="A433" s="14"/>
      <c r="B433" s="14"/>
      <c r="C433" s="14"/>
      <c r="D433" s="14"/>
      <c r="E433" s="14"/>
      <c r="F433" s="16"/>
      <c r="G433" s="16"/>
      <c r="H433" s="16"/>
      <c r="I433" s="16"/>
      <c r="J433" s="16"/>
    </row>
    <row r="434" ht="15.75" customHeight="1">
      <c r="A434" s="14"/>
      <c r="B434" s="14"/>
      <c r="C434" s="14"/>
      <c r="D434" s="14"/>
      <c r="E434" s="14"/>
      <c r="F434" s="16"/>
      <c r="G434" s="16"/>
      <c r="H434" s="16"/>
      <c r="I434" s="16"/>
      <c r="J434" s="16"/>
    </row>
    <row r="435" ht="15.75" customHeight="1">
      <c r="A435" s="14"/>
      <c r="B435" s="14"/>
      <c r="C435" s="14"/>
      <c r="D435" s="14"/>
      <c r="E435" s="14"/>
      <c r="F435" s="16"/>
      <c r="G435" s="16"/>
      <c r="H435" s="16"/>
      <c r="I435" s="16"/>
      <c r="J435" s="16"/>
    </row>
    <row r="436" ht="15.75" customHeight="1">
      <c r="A436" s="14"/>
      <c r="B436" s="14"/>
      <c r="C436" s="14"/>
      <c r="D436" s="14"/>
      <c r="E436" s="14"/>
      <c r="F436" s="16"/>
      <c r="G436" s="16"/>
      <c r="H436" s="16"/>
      <c r="I436" s="16"/>
      <c r="J436" s="16"/>
    </row>
    <row r="437" ht="15.75" customHeight="1">
      <c r="A437" s="14"/>
      <c r="B437" s="14"/>
      <c r="C437" s="14"/>
      <c r="D437" s="14"/>
      <c r="E437" s="14"/>
      <c r="F437" s="16"/>
      <c r="G437" s="16"/>
      <c r="H437" s="16"/>
      <c r="I437" s="16"/>
      <c r="J437" s="16"/>
    </row>
    <row r="438" ht="15.75" customHeight="1">
      <c r="A438" s="14"/>
      <c r="B438" s="14"/>
      <c r="C438" s="14"/>
      <c r="D438" s="14"/>
      <c r="E438" s="14"/>
      <c r="F438" s="16"/>
      <c r="G438" s="16"/>
      <c r="H438" s="16"/>
      <c r="I438" s="16"/>
      <c r="J438" s="16"/>
    </row>
    <row r="439" ht="15.75" customHeight="1">
      <c r="A439" s="14"/>
      <c r="B439" s="14"/>
      <c r="C439" s="14"/>
      <c r="D439" s="14"/>
      <c r="E439" s="14"/>
      <c r="F439" s="16"/>
      <c r="G439" s="16"/>
      <c r="H439" s="16"/>
      <c r="I439" s="16"/>
      <c r="J439" s="16"/>
    </row>
    <row r="440" ht="15.75" customHeight="1">
      <c r="A440" s="14"/>
      <c r="B440" s="14"/>
      <c r="C440" s="14"/>
      <c r="D440" s="14"/>
      <c r="E440" s="14"/>
      <c r="F440" s="16"/>
      <c r="G440" s="16"/>
      <c r="H440" s="16"/>
      <c r="I440" s="16"/>
      <c r="J440" s="16"/>
    </row>
    <row r="441" ht="15.75" customHeight="1">
      <c r="A441" s="14"/>
      <c r="B441" s="14"/>
      <c r="C441" s="14"/>
      <c r="D441" s="14"/>
      <c r="E441" s="14"/>
      <c r="F441" s="16"/>
      <c r="G441" s="16"/>
      <c r="H441" s="16"/>
      <c r="I441" s="16"/>
      <c r="J441" s="16"/>
    </row>
    <row r="442" ht="15.75" customHeight="1">
      <c r="A442" s="14"/>
      <c r="B442" s="14"/>
      <c r="C442" s="14"/>
      <c r="D442" s="14"/>
      <c r="E442" s="14"/>
      <c r="F442" s="16"/>
      <c r="G442" s="16"/>
      <c r="H442" s="16"/>
      <c r="I442" s="16"/>
      <c r="J442" s="16"/>
    </row>
    <row r="443" ht="15.75" customHeight="1">
      <c r="A443" s="14"/>
      <c r="B443" s="14"/>
      <c r="C443" s="14"/>
      <c r="D443" s="14"/>
      <c r="E443" s="14"/>
      <c r="F443" s="16"/>
      <c r="G443" s="16"/>
      <c r="H443" s="16"/>
      <c r="I443" s="16"/>
      <c r="J443" s="16"/>
    </row>
    <row r="444" ht="15.75" customHeight="1">
      <c r="A444" s="14"/>
      <c r="B444" s="14"/>
      <c r="C444" s="14"/>
      <c r="D444" s="14"/>
      <c r="E444" s="14"/>
      <c r="F444" s="16"/>
      <c r="G444" s="16"/>
      <c r="H444" s="16"/>
      <c r="I444" s="16"/>
      <c r="J444" s="16"/>
    </row>
    <row r="445" ht="15.75" customHeight="1">
      <c r="A445" s="14"/>
      <c r="B445" s="14"/>
      <c r="C445" s="14"/>
      <c r="D445" s="14"/>
      <c r="E445" s="14"/>
      <c r="F445" s="16"/>
      <c r="G445" s="16"/>
      <c r="H445" s="16"/>
      <c r="I445" s="16"/>
      <c r="J445" s="16"/>
    </row>
    <row r="446" ht="15.75" customHeight="1">
      <c r="A446" s="14"/>
      <c r="B446" s="14"/>
      <c r="C446" s="14"/>
      <c r="D446" s="14"/>
      <c r="E446" s="14"/>
      <c r="F446" s="16"/>
      <c r="G446" s="16"/>
      <c r="H446" s="16"/>
      <c r="I446" s="16"/>
      <c r="J446" s="16"/>
    </row>
    <row r="447" ht="15.75" customHeight="1">
      <c r="A447" s="14"/>
      <c r="B447" s="14"/>
      <c r="C447" s="14"/>
      <c r="D447" s="14"/>
      <c r="E447" s="14"/>
      <c r="F447" s="16"/>
      <c r="G447" s="16"/>
      <c r="H447" s="16"/>
      <c r="I447" s="16"/>
      <c r="J447" s="16"/>
    </row>
    <row r="448" ht="15.75" customHeight="1">
      <c r="A448" s="14"/>
      <c r="B448" s="14"/>
      <c r="C448" s="14"/>
      <c r="D448" s="14"/>
      <c r="E448" s="14"/>
      <c r="F448" s="16"/>
      <c r="G448" s="16"/>
      <c r="H448" s="16"/>
      <c r="I448" s="16"/>
      <c r="J448" s="16"/>
    </row>
    <row r="449" ht="15.75" customHeight="1">
      <c r="A449" s="14"/>
      <c r="B449" s="14"/>
      <c r="C449" s="14"/>
      <c r="D449" s="14"/>
      <c r="E449" s="14"/>
      <c r="F449" s="16"/>
      <c r="G449" s="16"/>
      <c r="H449" s="16"/>
      <c r="I449" s="16"/>
      <c r="J449" s="16"/>
    </row>
    <row r="450" ht="15.75" customHeight="1">
      <c r="A450" s="14"/>
      <c r="B450" s="14"/>
      <c r="C450" s="14"/>
      <c r="D450" s="14"/>
      <c r="E450" s="14"/>
      <c r="F450" s="16"/>
      <c r="G450" s="16"/>
      <c r="H450" s="16"/>
      <c r="I450" s="16"/>
      <c r="J450" s="16"/>
    </row>
    <row r="451" ht="15.75" customHeight="1">
      <c r="A451" s="14"/>
      <c r="B451" s="14"/>
      <c r="C451" s="14"/>
      <c r="D451" s="14"/>
      <c r="E451" s="14"/>
      <c r="F451" s="16"/>
      <c r="G451" s="16"/>
      <c r="H451" s="16"/>
      <c r="I451" s="16"/>
      <c r="J451" s="16"/>
    </row>
    <row r="452" ht="15.75" customHeight="1">
      <c r="A452" s="14"/>
      <c r="B452" s="14"/>
      <c r="C452" s="14"/>
      <c r="D452" s="14"/>
      <c r="E452" s="14"/>
      <c r="F452" s="16"/>
      <c r="G452" s="16"/>
      <c r="H452" s="16"/>
      <c r="I452" s="16"/>
      <c r="J452" s="16"/>
    </row>
    <row r="453" ht="15.75" customHeight="1">
      <c r="A453" s="14"/>
      <c r="B453" s="14"/>
      <c r="C453" s="14"/>
      <c r="D453" s="14"/>
      <c r="E453" s="14"/>
      <c r="F453" s="16"/>
      <c r="G453" s="16"/>
      <c r="H453" s="16"/>
      <c r="I453" s="16"/>
      <c r="J453" s="16"/>
    </row>
    <row r="454" ht="15.75" customHeight="1">
      <c r="A454" s="14"/>
      <c r="B454" s="14"/>
      <c r="C454" s="14"/>
      <c r="D454" s="14"/>
      <c r="E454" s="14"/>
      <c r="F454" s="16"/>
      <c r="G454" s="16"/>
      <c r="H454" s="16"/>
      <c r="I454" s="16"/>
      <c r="J454" s="16"/>
    </row>
    <row r="455" ht="15.75" customHeight="1">
      <c r="A455" s="14"/>
      <c r="B455" s="14"/>
      <c r="C455" s="14"/>
      <c r="D455" s="14"/>
      <c r="E455" s="14"/>
      <c r="F455" s="16"/>
      <c r="G455" s="16"/>
      <c r="H455" s="16"/>
      <c r="I455" s="16"/>
      <c r="J455" s="16"/>
    </row>
    <row r="456" ht="15.75" customHeight="1">
      <c r="A456" s="14"/>
      <c r="B456" s="14"/>
      <c r="C456" s="14"/>
      <c r="D456" s="14"/>
      <c r="E456" s="14"/>
      <c r="F456" s="16"/>
      <c r="G456" s="16"/>
      <c r="H456" s="16"/>
      <c r="I456" s="16"/>
      <c r="J456" s="16"/>
    </row>
    <row r="457" ht="15.75" customHeight="1">
      <c r="A457" s="14"/>
      <c r="B457" s="14"/>
      <c r="C457" s="14"/>
      <c r="D457" s="14"/>
      <c r="E457" s="14"/>
      <c r="F457" s="16"/>
      <c r="G457" s="16"/>
      <c r="H457" s="16"/>
      <c r="I457" s="16"/>
      <c r="J457" s="16"/>
    </row>
    <row r="458" ht="15.75" customHeight="1">
      <c r="A458" s="14"/>
      <c r="B458" s="14"/>
      <c r="C458" s="14"/>
      <c r="D458" s="14"/>
      <c r="E458" s="14"/>
      <c r="F458" s="16"/>
      <c r="G458" s="16"/>
      <c r="H458" s="16"/>
      <c r="I458" s="16"/>
      <c r="J458" s="16"/>
    </row>
    <row r="459" ht="15.75" customHeight="1">
      <c r="A459" s="14"/>
      <c r="B459" s="14"/>
      <c r="C459" s="14"/>
      <c r="D459" s="14"/>
      <c r="E459" s="14"/>
      <c r="F459" s="16"/>
      <c r="G459" s="16"/>
      <c r="H459" s="16"/>
      <c r="I459" s="16"/>
      <c r="J459" s="16"/>
    </row>
    <row r="460" ht="15.75" customHeight="1">
      <c r="A460" s="14"/>
      <c r="B460" s="14"/>
      <c r="C460" s="14"/>
      <c r="D460" s="14"/>
      <c r="E460" s="14"/>
      <c r="F460" s="16"/>
      <c r="G460" s="16"/>
      <c r="H460" s="16"/>
      <c r="I460" s="16"/>
      <c r="J460" s="16"/>
    </row>
    <row r="461" ht="15.75" customHeight="1">
      <c r="A461" s="14"/>
      <c r="B461" s="14"/>
      <c r="C461" s="14"/>
      <c r="D461" s="14"/>
      <c r="E461" s="14"/>
      <c r="F461" s="16"/>
      <c r="G461" s="16"/>
      <c r="H461" s="16"/>
      <c r="I461" s="16"/>
      <c r="J461" s="16"/>
    </row>
    <row r="462" ht="15.75" customHeight="1">
      <c r="A462" s="14"/>
      <c r="B462" s="14"/>
      <c r="C462" s="14"/>
      <c r="D462" s="14"/>
      <c r="E462" s="14"/>
      <c r="F462" s="16"/>
      <c r="G462" s="16"/>
      <c r="H462" s="16"/>
      <c r="I462" s="16"/>
      <c r="J462" s="16"/>
    </row>
    <row r="463" ht="15.75" customHeight="1">
      <c r="A463" s="14"/>
      <c r="B463" s="14"/>
      <c r="C463" s="14"/>
      <c r="D463" s="14"/>
      <c r="E463" s="14"/>
      <c r="F463" s="16"/>
      <c r="G463" s="16"/>
      <c r="H463" s="16"/>
      <c r="I463" s="16"/>
      <c r="J463" s="16"/>
    </row>
    <row r="464" ht="15.75" customHeight="1">
      <c r="A464" s="14"/>
      <c r="B464" s="14"/>
      <c r="C464" s="14"/>
      <c r="D464" s="14"/>
      <c r="E464" s="14"/>
      <c r="F464" s="16"/>
      <c r="G464" s="16"/>
      <c r="H464" s="16"/>
      <c r="I464" s="16"/>
      <c r="J464" s="16"/>
    </row>
    <row r="465" ht="15.75" customHeight="1">
      <c r="A465" s="14"/>
      <c r="B465" s="14"/>
      <c r="C465" s="14"/>
      <c r="D465" s="14"/>
      <c r="E465" s="14"/>
      <c r="F465" s="16"/>
      <c r="G465" s="16"/>
      <c r="H465" s="16"/>
      <c r="I465" s="16"/>
      <c r="J465" s="16"/>
    </row>
    <row r="466" ht="15.75" customHeight="1">
      <c r="A466" s="14"/>
      <c r="B466" s="14"/>
      <c r="C466" s="14"/>
      <c r="D466" s="14"/>
      <c r="E466" s="14"/>
      <c r="F466" s="16"/>
      <c r="G466" s="16"/>
      <c r="H466" s="16"/>
      <c r="I466" s="16"/>
      <c r="J466" s="16"/>
    </row>
    <row r="467" ht="15.75" customHeight="1">
      <c r="A467" s="14"/>
      <c r="B467" s="14"/>
      <c r="C467" s="14"/>
      <c r="D467" s="14"/>
      <c r="E467" s="14"/>
      <c r="F467" s="16"/>
      <c r="G467" s="16"/>
      <c r="H467" s="16"/>
      <c r="I467" s="16"/>
      <c r="J467" s="16"/>
    </row>
    <row r="468" ht="15.75" customHeight="1">
      <c r="A468" s="14"/>
      <c r="B468" s="14"/>
      <c r="C468" s="14"/>
      <c r="D468" s="14"/>
      <c r="E468" s="14"/>
      <c r="F468" s="16"/>
      <c r="G468" s="16"/>
      <c r="H468" s="16"/>
      <c r="I468" s="16"/>
      <c r="J468" s="16"/>
    </row>
    <row r="469" ht="15.75" customHeight="1">
      <c r="A469" s="14"/>
      <c r="B469" s="14"/>
      <c r="C469" s="14"/>
      <c r="D469" s="14"/>
      <c r="E469" s="14"/>
      <c r="F469" s="16"/>
      <c r="G469" s="16"/>
      <c r="H469" s="16"/>
      <c r="I469" s="16"/>
      <c r="J469" s="16"/>
    </row>
    <row r="470" ht="15.75" customHeight="1">
      <c r="A470" s="14"/>
      <c r="B470" s="14"/>
      <c r="C470" s="14"/>
      <c r="D470" s="14"/>
      <c r="E470" s="14"/>
      <c r="F470" s="16"/>
      <c r="G470" s="16"/>
      <c r="H470" s="16"/>
      <c r="I470" s="16"/>
      <c r="J470" s="16"/>
    </row>
    <row r="471" ht="15.75" customHeight="1">
      <c r="A471" s="14"/>
      <c r="B471" s="14"/>
      <c r="C471" s="14"/>
      <c r="D471" s="14"/>
      <c r="E471" s="14"/>
      <c r="F471" s="16"/>
      <c r="G471" s="16"/>
      <c r="H471" s="16"/>
      <c r="I471" s="16"/>
      <c r="J471" s="16"/>
    </row>
    <row r="472" ht="15.75" customHeight="1">
      <c r="A472" s="14"/>
      <c r="B472" s="14"/>
      <c r="C472" s="14"/>
      <c r="D472" s="14"/>
      <c r="E472" s="14"/>
      <c r="F472" s="16"/>
      <c r="G472" s="16"/>
      <c r="H472" s="16"/>
      <c r="I472" s="16"/>
      <c r="J472" s="16"/>
    </row>
    <row r="473" ht="15.75" customHeight="1">
      <c r="A473" s="14"/>
      <c r="B473" s="14"/>
      <c r="C473" s="14"/>
      <c r="D473" s="14"/>
      <c r="E473" s="14"/>
      <c r="F473" s="16"/>
      <c r="G473" s="16"/>
      <c r="H473" s="16"/>
      <c r="I473" s="16"/>
      <c r="J473" s="16"/>
    </row>
    <row r="474" ht="15.75" customHeight="1">
      <c r="A474" s="14"/>
      <c r="B474" s="14"/>
      <c r="C474" s="14"/>
      <c r="D474" s="14"/>
      <c r="E474" s="14"/>
      <c r="F474" s="16"/>
      <c r="G474" s="16"/>
      <c r="H474" s="16"/>
      <c r="I474" s="16"/>
      <c r="J474" s="16"/>
    </row>
    <row r="475" ht="15.75" customHeight="1">
      <c r="A475" s="14"/>
      <c r="B475" s="14"/>
      <c r="C475" s="14"/>
      <c r="D475" s="14"/>
      <c r="E475" s="14"/>
      <c r="F475" s="16"/>
      <c r="G475" s="16"/>
      <c r="H475" s="16"/>
      <c r="I475" s="16"/>
      <c r="J475" s="16"/>
    </row>
    <row r="476" ht="15.75" customHeight="1">
      <c r="A476" s="14"/>
      <c r="B476" s="14"/>
      <c r="C476" s="14"/>
      <c r="D476" s="14"/>
      <c r="E476" s="14"/>
      <c r="F476" s="16"/>
      <c r="G476" s="16"/>
      <c r="H476" s="16"/>
      <c r="I476" s="16"/>
      <c r="J476" s="16"/>
    </row>
    <row r="477" ht="15.75" customHeight="1">
      <c r="A477" s="14"/>
      <c r="B477" s="14"/>
      <c r="C477" s="14"/>
      <c r="D477" s="14"/>
      <c r="E477" s="14"/>
      <c r="F477" s="16"/>
      <c r="G477" s="16"/>
      <c r="H477" s="16"/>
      <c r="I477" s="16"/>
      <c r="J477" s="16"/>
    </row>
    <row r="478" ht="15.75" customHeight="1">
      <c r="A478" s="14"/>
      <c r="B478" s="14"/>
      <c r="C478" s="14"/>
      <c r="D478" s="14"/>
      <c r="E478" s="14"/>
      <c r="F478" s="16"/>
      <c r="G478" s="16"/>
      <c r="H478" s="16"/>
      <c r="I478" s="16"/>
      <c r="J478" s="16"/>
    </row>
    <row r="479" ht="15.75" customHeight="1">
      <c r="A479" s="14"/>
      <c r="B479" s="14"/>
      <c r="C479" s="14"/>
      <c r="D479" s="14"/>
      <c r="E479" s="14"/>
      <c r="F479" s="16"/>
      <c r="G479" s="16"/>
      <c r="H479" s="16"/>
      <c r="I479" s="16"/>
      <c r="J479" s="16"/>
    </row>
    <row r="480" ht="15.75" customHeight="1">
      <c r="A480" s="14"/>
      <c r="B480" s="14"/>
      <c r="C480" s="14"/>
      <c r="D480" s="14"/>
      <c r="E480" s="14"/>
      <c r="F480" s="16"/>
      <c r="G480" s="16"/>
      <c r="H480" s="16"/>
      <c r="I480" s="16"/>
      <c r="J480" s="16"/>
    </row>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3:$J$480"/>
  <conditionalFormatting sqref="B4:J480">
    <cfRule type="expression" dxfId="0" priority="1">
      <formula>AND($A4&lt;&gt;"",B4="")</formula>
    </cfRule>
  </conditionalFormatting>
  <dataValidations>
    <dataValidation type="list" allowBlank="1" sqref="A4:A480">
      <formula1>"C0,C1,C2"</formula1>
    </dataValidation>
    <dataValidation type="list" allowBlank="1" sqref="C4:C480">
      <formula1>"E1,E2,E3"</formula1>
    </dataValidation>
    <dataValidation type="list" allowBlank="1" sqref="F4:F480 H4:I480">
      <formula1>"Sim,Não,N/A"</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1.0"/>
    <col customWidth="1" min="2" max="3" width="12.0"/>
    <col customWidth="1" min="4" max="4" width="10.0"/>
    <col customWidth="1" min="5" max="5" width="20.0"/>
    <col customWidth="1" min="6" max="6" width="26.0"/>
    <col customWidth="1" min="7" max="7" width="40.0"/>
    <col customWidth="1" min="8" max="8" width="36.0"/>
    <col customWidth="1" min="9" max="9" width="18.0"/>
    <col customWidth="1" min="10" max="10" width="14.0"/>
    <col customWidth="1" min="11" max="11" width="30.0"/>
    <col customWidth="1" min="12" max="26" width="8.71"/>
  </cols>
  <sheetData>
    <row r="1">
      <c r="A1" s="1" t="s">
        <v>662</v>
      </c>
    </row>
    <row r="2">
      <c r="A2" s="2" t="s">
        <v>663</v>
      </c>
    </row>
    <row r="3" ht="36.0" customHeight="1">
      <c r="A3" s="12" t="s">
        <v>525</v>
      </c>
      <c r="B3" s="12" t="s">
        <v>32</v>
      </c>
      <c r="C3" s="12" t="s">
        <v>449</v>
      </c>
      <c r="D3" s="12" t="s">
        <v>668</v>
      </c>
      <c r="E3" s="12" t="s">
        <v>53</v>
      </c>
      <c r="F3" s="12" t="s">
        <v>669</v>
      </c>
      <c r="G3" s="12" t="s">
        <v>671</v>
      </c>
      <c r="H3" s="12" t="s">
        <v>672</v>
      </c>
      <c r="I3" s="12" t="s">
        <v>673</v>
      </c>
      <c r="J3" s="12" t="s">
        <v>675</v>
      </c>
      <c r="K3" s="12" t="s">
        <v>676</v>
      </c>
    </row>
    <row r="4">
      <c r="A4" s="14" t="s">
        <v>532</v>
      </c>
      <c r="B4" s="14" t="s">
        <v>25</v>
      </c>
      <c r="C4" s="14" t="s">
        <v>458</v>
      </c>
      <c r="D4" s="14">
        <v>1.0</v>
      </c>
      <c r="E4" s="14" t="s">
        <v>549</v>
      </c>
      <c r="F4" s="14" t="s">
        <v>681</v>
      </c>
      <c r="G4" s="14" t="s">
        <v>682</v>
      </c>
      <c r="H4" s="54" t="s">
        <v>683</v>
      </c>
      <c r="I4" s="14">
        <v>2.0</v>
      </c>
      <c r="J4" s="14" t="s">
        <v>694</v>
      </c>
      <c r="K4" s="14" t="s">
        <v>695</v>
      </c>
    </row>
    <row r="5">
      <c r="A5" s="14" t="s">
        <v>532</v>
      </c>
      <c r="B5" s="14" t="s">
        <v>25</v>
      </c>
      <c r="C5" s="14" t="s">
        <v>464</v>
      </c>
      <c r="D5" s="14">
        <v>1.0</v>
      </c>
      <c r="E5" s="14" t="s">
        <v>574</v>
      </c>
      <c r="F5" s="14" t="s">
        <v>700</v>
      </c>
      <c r="G5" s="14" t="s">
        <v>701</v>
      </c>
      <c r="H5" s="14" t="s">
        <v>702</v>
      </c>
      <c r="I5" s="14">
        <v>2.0</v>
      </c>
      <c r="J5" s="14" t="s">
        <v>694</v>
      </c>
      <c r="K5" s="14" t="s">
        <v>703</v>
      </c>
    </row>
    <row r="6">
      <c r="A6" s="14" t="s">
        <v>532</v>
      </c>
      <c r="B6" s="14" t="s">
        <v>69</v>
      </c>
      <c r="C6" s="14" t="s">
        <v>458</v>
      </c>
      <c r="D6" s="14">
        <v>1.0</v>
      </c>
      <c r="E6" s="14" t="s">
        <v>592</v>
      </c>
      <c r="F6" s="14" t="s">
        <v>705</v>
      </c>
      <c r="G6" s="14" t="s">
        <v>706</v>
      </c>
      <c r="H6" s="14" t="s">
        <v>707</v>
      </c>
      <c r="I6" s="14">
        <v>2.0</v>
      </c>
      <c r="J6" s="14" t="s">
        <v>694</v>
      </c>
      <c r="K6" s="14" t="s">
        <v>703</v>
      </c>
    </row>
    <row r="7">
      <c r="A7" s="16"/>
      <c r="B7" s="16"/>
      <c r="C7" s="16"/>
      <c r="D7" s="16"/>
      <c r="E7" s="16"/>
      <c r="F7" s="16"/>
      <c r="G7" s="16"/>
      <c r="H7" s="16"/>
      <c r="I7" s="16"/>
      <c r="J7" s="16"/>
      <c r="K7" s="16"/>
    </row>
    <row r="8">
      <c r="A8" s="16"/>
      <c r="B8" s="16"/>
      <c r="C8" s="16"/>
      <c r="D8" s="16"/>
      <c r="E8" s="16"/>
      <c r="F8" s="16"/>
      <c r="G8" s="16"/>
      <c r="H8" s="16"/>
      <c r="I8" s="16"/>
      <c r="J8" s="16"/>
      <c r="K8" s="16"/>
    </row>
    <row r="9">
      <c r="A9" s="16"/>
      <c r="B9" s="16"/>
      <c r="C9" s="16"/>
      <c r="D9" s="16"/>
      <c r="E9" s="16"/>
      <c r="F9" s="16"/>
      <c r="G9" s="16"/>
      <c r="H9" s="16"/>
      <c r="I9" s="16"/>
      <c r="J9" s="16"/>
      <c r="K9" s="16"/>
    </row>
    <row r="10">
      <c r="A10" s="16"/>
      <c r="B10" s="16"/>
      <c r="C10" s="16"/>
      <c r="D10" s="16"/>
      <c r="E10" s="16"/>
      <c r="F10" s="16"/>
      <c r="G10" s="16"/>
      <c r="H10" s="16"/>
      <c r="I10" s="16"/>
      <c r="J10" s="16"/>
      <c r="K10" s="16"/>
    </row>
    <row r="11">
      <c r="A11" s="16"/>
      <c r="B11" s="16"/>
      <c r="C11" s="16"/>
      <c r="D11" s="16"/>
      <c r="E11" s="16"/>
      <c r="F11" s="16"/>
      <c r="G11" s="16"/>
      <c r="H11" s="16"/>
      <c r="I11" s="16"/>
      <c r="J11" s="16"/>
      <c r="K11" s="16"/>
    </row>
    <row r="12">
      <c r="A12" s="16"/>
      <c r="B12" s="16"/>
      <c r="C12" s="16"/>
      <c r="D12" s="16"/>
      <c r="E12" s="16"/>
      <c r="F12" s="16"/>
      <c r="G12" s="16"/>
      <c r="H12" s="16"/>
      <c r="I12" s="16"/>
      <c r="J12" s="16"/>
      <c r="K12" s="16"/>
    </row>
    <row r="13">
      <c r="A13" s="16"/>
      <c r="B13" s="16"/>
      <c r="C13" s="16"/>
      <c r="D13" s="16"/>
      <c r="E13" s="16"/>
      <c r="F13" s="16"/>
      <c r="G13" s="16"/>
      <c r="H13" s="16"/>
      <c r="I13" s="16"/>
      <c r="J13" s="16"/>
      <c r="K13" s="16"/>
    </row>
    <row r="14">
      <c r="A14" s="16"/>
      <c r="B14" s="16"/>
      <c r="C14" s="16"/>
      <c r="D14" s="16"/>
      <c r="E14" s="16"/>
      <c r="F14" s="16"/>
      <c r="G14" s="16"/>
      <c r="H14" s="16"/>
      <c r="I14" s="16"/>
      <c r="J14" s="16"/>
      <c r="K14" s="16"/>
    </row>
    <row r="15">
      <c r="A15" s="16"/>
      <c r="B15" s="16"/>
      <c r="C15" s="16"/>
      <c r="D15" s="16"/>
      <c r="E15" s="16"/>
      <c r="F15" s="16"/>
      <c r="G15" s="16"/>
      <c r="H15" s="16"/>
      <c r="I15" s="16"/>
      <c r="J15" s="16"/>
      <c r="K15" s="16"/>
    </row>
    <row r="16">
      <c r="A16" s="16"/>
      <c r="B16" s="16"/>
      <c r="C16" s="16"/>
      <c r="D16" s="16"/>
      <c r="E16" s="16"/>
      <c r="F16" s="16"/>
      <c r="G16" s="16"/>
      <c r="H16" s="16"/>
      <c r="I16" s="16"/>
      <c r="J16" s="16"/>
      <c r="K16" s="16"/>
    </row>
    <row r="17">
      <c r="A17" s="16"/>
      <c r="B17" s="16"/>
      <c r="C17" s="16"/>
      <c r="D17" s="16"/>
      <c r="E17" s="16"/>
      <c r="F17" s="16"/>
      <c r="G17" s="16"/>
      <c r="H17" s="16"/>
      <c r="I17" s="16"/>
      <c r="J17" s="16"/>
      <c r="K17" s="16"/>
    </row>
    <row r="18">
      <c r="A18" s="16"/>
      <c r="B18" s="16"/>
      <c r="C18" s="16"/>
      <c r="D18" s="16"/>
      <c r="E18" s="16"/>
      <c r="F18" s="16"/>
      <c r="G18" s="16"/>
      <c r="H18" s="16"/>
      <c r="I18" s="16"/>
      <c r="J18" s="16"/>
      <c r="K18" s="16"/>
    </row>
    <row r="19">
      <c r="A19" s="16"/>
      <c r="B19" s="16"/>
      <c r="C19" s="16"/>
      <c r="D19" s="16"/>
      <c r="E19" s="16"/>
      <c r="F19" s="16"/>
      <c r="G19" s="16"/>
      <c r="H19" s="16"/>
      <c r="I19" s="16"/>
      <c r="J19" s="16"/>
      <c r="K19" s="16"/>
    </row>
    <row r="20">
      <c r="A20" s="16"/>
      <c r="B20" s="16"/>
      <c r="C20" s="16"/>
      <c r="D20" s="16"/>
      <c r="E20" s="16"/>
      <c r="F20" s="16"/>
      <c r="G20" s="16"/>
      <c r="H20" s="16"/>
      <c r="I20" s="16"/>
      <c r="J20" s="16"/>
      <c r="K20" s="16"/>
    </row>
    <row r="21" ht="15.75" customHeight="1">
      <c r="A21" s="16"/>
      <c r="B21" s="16"/>
      <c r="C21" s="16"/>
      <c r="D21" s="16"/>
      <c r="E21" s="16"/>
      <c r="F21" s="16"/>
      <c r="G21" s="16"/>
      <c r="H21" s="16"/>
      <c r="I21" s="16"/>
      <c r="J21" s="16"/>
      <c r="K21" s="16"/>
    </row>
    <row r="22" ht="15.75" customHeight="1">
      <c r="A22" s="16"/>
      <c r="B22" s="16"/>
      <c r="C22" s="16"/>
      <c r="D22" s="16"/>
      <c r="E22" s="16"/>
      <c r="F22" s="16"/>
      <c r="G22" s="16"/>
      <c r="H22" s="16"/>
      <c r="I22" s="16"/>
      <c r="J22" s="16"/>
      <c r="K22" s="16"/>
    </row>
    <row r="23" ht="15.75" customHeight="1">
      <c r="A23" s="16"/>
      <c r="B23" s="16"/>
      <c r="C23" s="16"/>
      <c r="D23" s="16"/>
      <c r="E23" s="16"/>
      <c r="F23" s="16"/>
      <c r="G23" s="16"/>
      <c r="H23" s="16"/>
      <c r="I23" s="16"/>
      <c r="J23" s="16"/>
      <c r="K23" s="16"/>
    </row>
    <row r="24" ht="15.75" customHeight="1">
      <c r="A24" s="16"/>
      <c r="B24" s="16"/>
      <c r="C24" s="16"/>
      <c r="D24" s="16"/>
      <c r="E24" s="16"/>
      <c r="F24" s="16"/>
      <c r="G24" s="16"/>
      <c r="H24" s="16"/>
      <c r="I24" s="16"/>
      <c r="J24" s="16"/>
      <c r="K24" s="16"/>
    </row>
    <row r="25" ht="15.75" customHeight="1">
      <c r="A25" s="16"/>
      <c r="B25" s="16"/>
      <c r="C25" s="16"/>
      <c r="D25" s="16"/>
      <c r="E25" s="16"/>
      <c r="F25" s="16"/>
      <c r="G25" s="16"/>
      <c r="H25" s="16"/>
      <c r="I25" s="16"/>
      <c r="J25" s="16"/>
      <c r="K25" s="16"/>
    </row>
    <row r="26" ht="15.75" customHeight="1">
      <c r="A26" s="16"/>
      <c r="B26" s="16"/>
      <c r="C26" s="16"/>
      <c r="D26" s="16"/>
      <c r="E26" s="16"/>
      <c r="F26" s="16"/>
      <c r="G26" s="16"/>
      <c r="H26" s="16"/>
      <c r="I26" s="16"/>
      <c r="J26" s="16"/>
      <c r="K26" s="16"/>
    </row>
    <row r="27" ht="15.75" customHeight="1">
      <c r="A27" s="16"/>
      <c r="B27" s="16"/>
      <c r="C27" s="16"/>
      <c r="D27" s="16"/>
      <c r="E27" s="16"/>
      <c r="F27" s="16"/>
      <c r="G27" s="16"/>
      <c r="H27" s="16"/>
      <c r="I27" s="16"/>
      <c r="J27" s="16"/>
      <c r="K27" s="16"/>
    </row>
    <row r="28" ht="15.75" customHeight="1">
      <c r="A28" s="16"/>
      <c r="B28" s="16"/>
      <c r="C28" s="16"/>
      <c r="D28" s="16"/>
      <c r="E28" s="16"/>
      <c r="F28" s="16"/>
      <c r="G28" s="16"/>
      <c r="H28" s="16"/>
      <c r="I28" s="16"/>
      <c r="J28" s="16"/>
      <c r="K28" s="16"/>
    </row>
    <row r="29" ht="15.75" customHeight="1">
      <c r="A29" s="16"/>
      <c r="B29" s="16"/>
      <c r="C29" s="16"/>
      <c r="D29" s="16"/>
      <c r="E29" s="16"/>
      <c r="F29" s="16"/>
      <c r="G29" s="16"/>
      <c r="H29" s="16"/>
      <c r="I29" s="16"/>
      <c r="J29" s="16"/>
      <c r="K29" s="16"/>
    </row>
    <row r="30" ht="15.75" customHeight="1">
      <c r="A30" s="16"/>
      <c r="B30" s="16"/>
      <c r="C30" s="16"/>
      <c r="D30" s="16"/>
      <c r="E30" s="16"/>
      <c r="F30" s="16"/>
      <c r="G30" s="16"/>
      <c r="H30" s="16"/>
      <c r="I30" s="16"/>
      <c r="J30" s="16"/>
      <c r="K30" s="16"/>
    </row>
    <row r="31" ht="15.75" customHeight="1">
      <c r="A31" s="16"/>
      <c r="B31" s="16"/>
      <c r="C31" s="16"/>
      <c r="D31" s="16"/>
      <c r="E31" s="16"/>
      <c r="F31" s="16"/>
      <c r="G31" s="16"/>
      <c r="H31" s="16"/>
      <c r="I31" s="16"/>
      <c r="J31" s="16"/>
      <c r="K31" s="16"/>
    </row>
    <row r="32" ht="15.75" customHeight="1">
      <c r="A32" s="16"/>
      <c r="B32" s="16"/>
      <c r="C32" s="16"/>
      <c r="D32" s="16"/>
      <c r="E32" s="16"/>
      <c r="F32" s="16"/>
      <c r="G32" s="16"/>
      <c r="H32" s="16"/>
      <c r="I32" s="16"/>
      <c r="J32" s="16"/>
      <c r="K32" s="16"/>
    </row>
    <row r="33" ht="15.75" customHeight="1">
      <c r="A33" s="16"/>
      <c r="B33" s="16"/>
      <c r="C33" s="16"/>
      <c r="D33" s="16"/>
      <c r="E33" s="16"/>
      <c r="F33" s="16"/>
      <c r="G33" s="16"/>
      <c r="H33" s="16"/>
      <c r="I33" s="16"/>
      <c r="J33" s="16"/>
      <c r="K33" s="16"/>
    </row>
    <row r="34" ht="15.75" customHeight="1">
      <c r="A34" s="16"/>
      <c r="B34" s="16"/>
      <c r="C34" s="16"/>
      <c r="D34" s="16"/>
      <c r="E34" s="16"/>
      <c r="F34" s="16"/>
      <c r="G34" s="16"/>
      <c r="H34" s="16"/>
      <c r="I34" s="16"/>
      <c r="J34" s="16"/>
      <c r="K34" s="16"/>
    </row>
    <row r="35" ht="15.75" customHeight="1">
      <c r="A35" s="16"/>
      <c r="B35" s="16"/>
      <c r="C35" s="16"/>
      <c r="D35" s="16"/>
      <c r="E35" s="16"/>
      <c r="F35" s="16"/>
      <c r="G35" s="16"/>
      <c r="H35" s="16"/>
      <c r="I35" s="16"/>
      <c r="J35" s="16"/>
      <c r="K35" s="16"/>
    </row>
    <row r="36" ht="15.75" customHeight="1">
      <c r="A36" s="16"/>
      <c r="B36" s="16"/>
      <c r="C36" s="16"/>
      <c r="D36" s="16"/>
      <c r="E36" s="16"/>
      <c r="F36" s="16"/>
      <c r="G36" s="16"/>
      <c r="H36" s="16"/>
      <c r="I36" s="16"/>
      <c r="J36" s="16"/>
      <c r="K36" s="16"/>
    </row>
    <row r="37" ht="15.75" customHeight="1">
      <c r="A37" s="16"/>
      <c r="B37" s="16"/>
      <c r="C37" s="16"/>
      <c r="D37" s="16"/>
      <c r="E37" s="16"/>
      <c r="F37" s="16"/>
      <c r="G37" s="16"/>
      <c r="H37" s="16"/>
      <c r="I37" s="16"/>
      <c r="J37" s="16"/>
      <c r="K37" s="16"/>
    </row>
    <row r="38" ht="15.75" customHeight="1">
      <c r="A38" s="16"/>
      <c r="B38" s="16"/>
      <c r="C38" s="16"/>
      <c r="D38" s="16"/>
      <c r="E38" s="16"/>
      <c r="F38" s="16"/>
      <c r="G38" s="16"/>
      <c r="H38" s="16"/>
      <c r="I38" s="16"/>
      <c r="J38" s="16"/>
      <c r="K38" s="16"/>
    </row>
    <row r="39" ht="15.75" customHeight="1">
      <c r="A39" s="16"/>
      <c r="B39" s="16"/>
      <c r="C39" s="16"/>
      <c r="D39" s="16"/>
      <c r="E39" s="16"/>
      <c r="F39" s="16"/>
      <c r="G39" s="16"/>
      <c r="H39" s="16"/>
      <c r="I39" s="16"/>
      <c r="J39" s="16"/>
      <c r="K39" s="16"/>
    </row>
    <row r="40" ht="15.75" customHeight="1">
      <c r="A40" s="16"/>
      <c r="B40" s="16"/>
      <c r="C40" s="16"/>
      <c r="D40" s="16"/>
      <c r="E40" s="16"/>
      <c r="F40" s="16"/>
      <c r="G40" s="16"/>
      <c r="H40" s="16"/>
      <c r="I40" s="16"/>
      <c r="J40" s="16"/>
      <c r="K40" s="16"/>
    </row>
    <row r="41" ht="15.75" customHeight="1">
      <c r="A41" s="16"/>
      <c r="B41" s="16"/>
      <c r="C41" s="16"/>
      <c r="D41" s="16"/>
      <c r="E41" s="16"/>
      <c r="F41" s="16"/>
      <c r="G41" s="16"/>
      <c r="H41" s="16"/>
      <c r="I41" s="16"/>
      <c r="J41" s="16"/>
      <c r="K41" s="16"/>
    </row>
    <row r="42" ht="15.75" customHeight="1">
      <c r="A42" s="16"/>
      <c r="B42" s="16"/>
      <c r="C42" s="16"/>
      <c r="D42" s="16"/>
      <c r="E42" s="16"/>
      <c r="F42" s="16"/>
      <c r="G42" s="16"/>
      <c r="H42" s="16"/>
      <c r="I42" s="16"/>
      <c r="J42" s="16"/>
      <c r="K42" s="16"/>
    </row>
    <row r="43" ht="15.75" customHeight="1">
      <c r="A43" s="16"/>
      <c r="B43" s="16"/>
      <c r="C43" s="16"/>
      <c r="D43" s="16"/>
      <c r="E43" s="16"/>
      <c r="F43" s="16"/>
      <c r="G43" s="16"/>
      <c r="H43" s="16"/>
      <c r="I43" s="16"/>
      <c r="J43" s="16"/>
      <c r="K43" s="16"/>
    </row>
    <row r="44" ht="15.75" customHeight="1">
      <c r="A44" s="16"/>
      <c r="B44" s="16"/>
      <c r="C44" s="16"/>
      <c r="D44" s="16"/>
      <c r="E44" s="16"/>
      <c r="F44" s="16"/>
      <c r="G44" s="16"/>
      <c r="H44" s="16"/>
      <c r="I44" s="16"/>
      <c r="J44" s="16"/>
      <c r="K44" s="16"/>
    </row>
    <row r="45" ht="15.75" customHeight="1">
      <c r="A45" s="16"/>
      <c r="B45" s="16"/>
      <c r="C45" s="16"/>
      <c r="D45" s="16"/>
      <c r="E45" s="16"/>
      <c r="F45" s="16"/>
      <c r="G45" s="16"/>
      <c r="H45" s="16"/>
      <c r="I45" s="16"/>
      <c r="J45" s="16"/>
      <c r="K45" s="16"/>
    </row>
    <row r="46" ht="15.75" customHeight="1">
      <c r="A46" s="16"/>
      <c r="B46" s="16"/>
      <c r="C46" s="16"/>
      <c r="D46" s="16"/>
      <c r="E46" s="16"/>
      <c r="F46" s="16"/>
      <c r="G46" s="16"/>
      <c r="H46" s="16"/>
      <c r="I46" s="16"/>
      <c r="J46" s="16"/>
      <c r="K46" s="16"/>
    </row>
    <row r="47" ht="15.75" customHeight="1">
      <c r="A47" s="16"/>
      <c r="B47" s="16"/>
      <c r="C47" s="16"/>
      <c r="D47" s="16"/>
      <c r="E47" s="16"/>
      <c r="F47" s="16"/>
      <c r="G47" s="16"/>
      <c r="H47" s="16"/>
      <c r="I47" s="16"/>
      <c r="J47" s="16"/>
      <c r="K47" s="16"/>
    </row>
    <row r="48" ht="15.75" customHeight="1">
      <c r="A48" s="16"/>
      <c r="B48" s="16"/>
      <c r="C48" s="16"/>
      <c r="D48" s="16"/>
      <c r="E48" s="16"/>
      <c r="F48" s="16"/>
      <c r="G48" s="16"/>
      <c r="H48" s="16"/>
      <c r="I48" s="16"/>
      <c r="J48" s="16"/>
      <c r="K48" s="16"/>
    </row>
    <row r="49" ht="15.75" customHeight="1">
      <c r="A49" s="16"/>
      <c r="B49" s="16"/>
      <c r="C49" s="16"/>
      <c r="D49" s="16"/>
      <c r="E49" s="16"/>
      <c r="F49" s="16"/>
      <c r="G49" s="16"/>
      <c r="H49" s="16"/>
      <c r="I49" s="16"/>
      <c r="J49" s="16"/>
      <c r="K49" s="16"/>
    </row>
    <row r="50" ht="15.75" customHeight="1">
      <c r="A50" s="16"/>
      <c r="B50" s="16"/>
      <c r="C50" s="16"/>
      <c r="D50" s="16"/>
      <c r="E50" s="16"/>
      <c r="F50" s="16"/>
      <c r="G50" s="16"/>
      <c r="H50" s="16"/>
      <c r="I50" s="16"/>
      <c r="J50" s="16"/>
      <c r="K50" s="16"/>
    </row>
    <row r="51" ht="15.75" customHeight="1">
      <c r="A51" s="16"/>
      <c r="B51" s="16"/>
      <c r="C51" s="16"/>
      <c r="D51" s="16"/>
      <c r="E51" s="16"/>
      <c r="F51" s="16"/>
      <c r="G51" s="16"/>
      <c r="H51" s="16"/>
      <c r="I51" s="16"/>
      <c r="J51" s="16"/>
      <c r="K51" s="16"/>
    </row>
    <row r="52" ht="15.75" customHeight="1">
      <c r="A52" s="16"/>
      <c r="B52" s="16"/>
      <c r="C52" s="16"/>
      <c r="D52" s="16"/>
      <c r="E52" s="16"/>
      <c r="F52" s="16"/>
      <c r="G52" s="16"/>
      <c r="H52" s="16"/>
      <c r="I52" s="16"/>
      <c r="J52" s="16"/>
      <c r="K52" s="16"/>
    </row>
    <row r="53" ht="15.75" customHeight="1">
      <c r="A53" s="16"/>
      <c r="B53" s="16"/>
      <c r="C53" s="16"/>
      <c r="D53" s="16"/>
      <c r="E53" s="16"/>
      <c r="F53" s="16"/>
      <c r="G53" s="16"/>
      <c r="H53" s="16"/>
      <c r="I53" s="16"/>
      <c r="J53" s="16"/>
      <c r="K53" s="16"/>
    </row>
    <row r="54" ht="15.75" customHeight="1">
      <c r="A54" s="16"/>
      <c r="B54" s="16"/>
      <c r="C54" s="16"/>
      <c r="D54" s="16"/>
      <c r="E54" s="16"/>
      <c r="F54" s="16"/>
      <c r="G54" s="16"/>
      <c r="H54" s="16"/>
      <c r="I54" s="16"/>
      <c r="J54" s="16"/>
      <c r="K54" s="16"/>
    </row>
    <row r="55" ht="15.75" customHeight="1">
      <c r="A55" s="16"/>
      <c r="B55" s="16"/>
      <c r="C55" s="16"/>
      <c r="D55" s="16"/>
      <c r="E55" s="16"/>
      <c r="F55" s="16"/>
      <c r="G55" s="16"/>
      <c r="H55" s="16"/>
      <c r="I55" s="16"/>
      <c r="J55" s="16"/>
      <c r="K55" s="16"/>
    </row>
    <row r="56" ht="15.75" customHeight="1">
      <c r="A56" s="16"/>
      <c r="B56" s="16"/>
      <c r="C56" s="16"/>
      <c r="D56" s="16"/>
      <c r="E56" s="16"/>
      <c r="F56" s="16"/>
      <c r="G56" s="16"/>
      <c r="H56" s="16"/>
      <c r="I56" s="16"/>
      <c r="J56" s="16"/>
      <c r="K56" s="16"/>
    </row>
    <row r="57" ht="15.75" customHeight="1">
      <c r="A57" s="16"/>
      <c r="B57" s="16"/>
      <c r="C57" s="16"/>
      <c r="D57" s="16"/>
      <c r="E57" s="16"/>
      <c r="F57" s="16"/>
      <c r="G57" s="16"/>
      <c r="H57" s="16"/>
      <c r="I57" s="16"/>
      <c r="J57" s="16"/>
      <c r="K57" s="16"/>
    </row>
    <row r="58" ht="15.75" customHeight="1">
      <c r="A58" s="16"/>
      <c r="B58" s="16"/>
      <c r="C58" s="16"/>
      <c r="D58" s="16"/>
      <c r="E58" s="16"/>
      <c r="F58" s="16"/>
      <c r="G58" s="16"/>
      <c r="H58" s="16"/>
      <c r="I58" s="16"/>
      <c r="J58" s="16"/>
      <c r="K58" s="16"/>
    </row>
    <row r="59" ht="15.75" customHeight="1">
      <c r="A59" s="16"/>
      <c r="B59" s="16"/>
      <c r="C59" s="16"/>
      <c r="D59" s="16"/>
      <c r="E59" s="16"/>
      <c r="F59" s="16"/>
      <c r="G59" s="16"/>
      <c r="H59" s="16"/>
      <c r="I59" s="16"/>
      <c r="J59" s="16"/>
      <c r="K59" s="16"/>
    </row>
    <row r="60" ht="15.75" customHeight="1">
      <c r="A60" s="16"/>
      <c r="B60" s="16"/>
      <c r="C60" s="16"/>
      <c r="D60" s="16"/>
      <c r="E60" s="16"/>
      <c r="F60" s="16"/>
      <c r="G60" s="16"/>
      <c r="H60" s="16"/>
      <c r="I60" s="16"/>
      <c r="J60" s="16"/>
      <c r="K60" s="16"/>
    </row>
    <row r="61" ht="15.75" customHeight="1">
      <c r="A61" s="16"/>
      <c r="B61" s="16"/>
      <c r="C61" s="16"/>
      <c r="D61" s="16"/>
      <c r="E61" s="16"/>
      <c r="F61" s="16"/>
      <c r="G61" s="16"/>
      <c r="H61" s="16"/>
      <c r="I61" s="16"/>
      <c r="J61" s="16"/>
      <c r="K61" s="16"/>
    </row>
    <row r="62" ht="15.75" customHeight="1">
      <c r="A62" s="16"/>
      <c r="B62" s="16"/>
      <c r="C62" s="16"/>
      <c r="D62" s="16"/>
      <c r="E62" s="16"/>
      <c r="F62" s="16"/>
      <c r="G62" s="16"/>
      <c r="H62" s="16"/>
      <c r="I62" s="16"/>
      <c r="J62" s="16"/>
      <c r="K62" s="16"/>
    </row>
    <row r="63" ht="15.75" customHeight="1">
      <c r="A63" s="16"/>
      <c r="B63" s="16"/>
      <c r="C63" s="16"/>
      <c r="D63" s="16"/>
      <c r="E63" s="16"/>
      <c r="F63" s="16"/>
      <c r="G63" s="16"/>
      <c r="H63" s="16"/>
      <c r="I63" s="16"/>
      <c r="J63" s="16"/>
      <c r="K63" s="16"/>
    </row>
    <row r="64" ht="15.75" customHeight="1">
      <c r="A64" s="16"/>
      <c r="B64" s="16"/>
      <c r="C64" s="16"/>
      <c r="D64" s="16"/>
      <c r="E64" s="16"/>
      <c r="F64" s="16"/>
      <c r="G64" s="16"/>
      <c r="H64" s="16"/>
      <c r="I64" s="16"/>
      <c r="J64" s="16"/>
      <c r="K64" s="16"/>
    </row>
    <row r="65" ht="15.75" customHeight="1">
      <c r="A65" s="16"/>
      <c r="B65" s="16"/>
      <c r="C65" s="16"/>
      <c r="D65" s="16"/>
      <c r="E65" s="16"/>
      <c r="F65" s="16"/>
      <c r="G65" s="16"/>
      <c r="H65" s="16"/>
      <c r="I65" s="16"/>
      <c r="J65" s="16"/>
      <c r="K65" s="16"/>
    </row>
    <row r="66" ht="15.75" customHeight="1">
      <c r="A66" s="16"/>
      <c r="B66" s="16"/>
      <c r="C66" s="16"/>
      <c r="D66" s="16"/>
      <c r="E66" s="16"/>
      <c r="F66" s="16"/>
      <c r="G66" s="16"/>
      <c r="H66" s="16"/>
      <c r="I66" s="16"/>
      <c r="J66" s="16"/>
      <c r="K66" s="16"/>
    </row>
    <row r="67" ht="15.75" customHeight="1">
      <c r="A67" s="16"/>
      <c r="B67" s="16"/>
      <c r="C67" s="16"/>
      <c r="D67" s="16"/>
      <c r="E67" s="16"/>
      <c r="F67" s="16"/>
      <c r="G67" s="16"/>
      <c r="H67" s="16"/>
      <c r="I67" s="16"/>
      <c r="J67" s="16"/>
      <c r="K67" s="16"/>
    </row>
    <row r="68" ht="15.75" customHeight="1">
      <c r="A68" s="16"/>
      <c r="B68" s="16"/>
      <c r="C68" s="16"/>
      <c r="D68" s="16"/>
      <c r="E68" s="16"/>
      <c r="F68" s="16"/>
      <c r="G68" s="16"/>
      <c r="H68" s="16"/>
      <c r="I68" s="16"/>
      <c r="J68" s="16"/>
      <c r="K68" s="16"/>
    </row>
    <row r="69" ht="15.75" customHeight="1">
      <c r="A69" s="16"/>
      <c r="B69" s="16"/>
      <c r="C69" s="16"/>
      <c r="D69" s="16"/>
      <c r="E69" s="16"/>
      <c r="F69" s="16"/>
      <c r="G69" s="16"/>
      <c r="H69" s="16"/>
      <c r="I69" s="16"/>
      <c r="J69" s="16"/>
      <c r="K69" s="16"/>
    </row>
    <row r="70" ht="15.75" customHeight="1">
      <c r="A70" s="16"/>
      <c r="B70" s="16"/>
      <c r="C70" s="16"/>
      <c r="D70" s="16"/>
      <c r="E70" s="16"/>
      <c r="F70" s="16"/>
      <c r="G70" s="16"/>
      <c r="H70" s="16"/>
      <c r="I70" s="16"/>
      <c r="J70" s="16"/>
      <c r="K70" s="16"/>
    </row>
    <row r="71" ht="15.75" customHeight="1">
      <c r="A71" s="16"/>
      <c r="B71" s="16"/>
      <c r="C71" s="16"/>
      <c r="D71" s="16"/>
      <c r="E71" s="16"/>
      <c r="F71" s="16"/>
      <c r="G71" s="16"/>
      <c r="H71" s="16"/>
      <c r="I71" s="16"/>
      <c r="J71" s="16"/>
      <c r="K71" s="16"/>
    </row>
    <row r="72" ht="15.75" customHeight="1">
      <c r="A72" s="16"/>
      <c r="B72" s="16"/>
      <c r="C72" s="16"/>
      <c r="D72" s="16"/>
      <c r="E72" s="16"/>
      <c r="F72" s="16"/>
      <c r="G72" s="16"/>
      <c r="H72" s="16"/>
      <c r="I72" s="16"/>
      <c r="J72" s="16"/>
      <c r="K72" s="16"/>
    </row>
    <row r="73" ht="15.75" customHeight="1">
      <c r="A73" s="16"/>
      <c r="B73" s="16"/>
      <c r="C73" s="16"/>
      <c r="D73" s="16"/>
      <c r="E73" s="16"/>
      <c r="F73" s="16"/>
      <c r="G73" s="16"/>
      <c r="H73" s="16"/>
      <c r="I73" s="16"/>
      <c r="J73" s="16"/>
      <c r="K73" s="16"/>
    </row>
    <row r="74" ht="15.75" customHeight="1">
      <c r="A74" s="16"/>
      <c r="B74" s="16"/>
      <c r="C74" s="16"/>
      <c r="D74" s="16"/>
      <c r="E74" s="16"/>
      <c r="F74" s="16"/>
      <c r="G74" s="16"/>
      <c r="H74" s="16"/>
      <c r="I74" s="16"/>
      <c r="J74" s="16"/>
      <c r="K74" s="16"/>
    </row>
    <row r="75" ht="15.75" customHeight="1">
      <c r="A75" s="16"/>
      <c r="B75" s="16"/>
      <c r="C75" s="16"/>
      <c r="D75" s="16"/>
      <c r="E75" s="16"/>
      <c r="F75" s="16"/>
      <c r="G75" s="16"/>
      <c r="H75" s="16"/>
      <c r="I75" s="16"/>
      <c r="J75" s="16"/>
      <c r="K75" s="16"/>
    </row>
    <row r="76" ht="15.75" customHeight="1">
      <c r="A76" s="16"/>
      <c r="B76" s="16"/>
      <c r="C76" s="16"/>
      <c r="D76" s="16"/>
      <c r="E76" s="16"/>
      <c r="F76" s="16"/>
      <c r="G76" s="16"/>
      <c r="H76" s="16"/>
      <c r="I76" s="16"/>
      <c r="J76" s="16"/>
      <c r="K76" s="16"/>
    </row>
    <row r="77" ht="15.75" customHeight="1">
      <c r="A77" s="16"/>
      <c r="B77" s="16"/>
      <c r="C77" s="16"/>
      <c r="D77" s="16"/>
      <c r="E77" s="16"/>
      <c r="F77" s="16"/>
      <c r="G77" s="16"/>
      <c r="H77" s="16"/>
      <c r="I77" s="16"/>
      <c r="J77" s="16"/>
      <c r="K77" s="16"/>
    </row>
    <row r="78" ht="15.75" customHeight="1">
      <c r="A78" s="16"/>
      <c r="B78" s="16"/>
      <c r="C78" s="16"/>
      <c r="D78" s="16"/>
      <c r="E78" s="16"/>
      <c r="F78" s="16"/>
      <c r="G78" s="16"/>
      <c r="H78" s="16"/>
      <c r="I78" s="16"/>
      <c r="J78" s="16"/>
      <c r="K78" s="16"/>
    </row>
    <row r="79" ht="15.75" customHeight="1">
      <c r="A79" s="16"/>
      <c r="B79" s="16"/>
      <c r="C79" s="16"/>
      <c r="D79" s="16"/>
      <c r="E79" s="16"/>
      <c r="F79" s="16"/>
      <c r="G79" s="16"/>
      <c r="H79" s="16"/>
      <c r="I79" s="16"/>
      <c r="J79" s="16"/>
      <c r="K79" s="16"/>
    </row>
    <row r="80" ht="15.75" customHeight="1">
      <c r="A80" s="16"/>
      <c r="B80" s="16"/>
      <c r="C80" s="16"/>
      <c r="D80" s="16"/>
      <c r="E80" s="16"/>
      <c r="F80" s="16"/>
      <c r="G80" s="16"/>
      <c r="H80" s="16"/>
      <c r="I80" s="16"/>
      <c r="J80" s="16"/>
      <c r="K80" s="16"/>
    </row>
    <row r="81" ht="15.75" customHeight="1">
      <c r="A81" s="16"/>
      <c r="B81" s="16"/>
      <c r="C81" s="16"/>
      <c r="D81" s="16"/>
      <c r="E81" s="16"/>
      <c r="F81" s="16"/>
      <c r="G81" s="16"/>
      <c r="H81" s="16"/>
      <c r="I81" s="16"/>
      <c r="J81" s="16"/>
      <c r="K81" s="16"/>
    </row>
    <row r="82" ht="15.75" customHeight="1">
      <c r="A82" s="16"/>
      <c r="B82" s="16"/>
      <c r="C82" s="16"/>
      <c r="D82" s="16"/>
      <c r="E82" s="16"/>
      <c r="F82" s="16"/>
      <c r="G82" s="16"/>
      <c r="H82" s="16"/>
      <c r="I82" s="16"/>
      <c r="J82" s="16"/>
      <c r="K82" s="16"/>
    </row>
    <row r="83" ht="15.75" customHeight="1">
      <c r="A83" s="16"/>
      <c r="B83" s="16"/>
      <c r="C83" s="16"/>
      <c r="D83" s="16"/>
      <c r="E83" s="16"/>
      <c r="F83" s="16"/>
      <c r="G83" s="16"/>
      <c r="H83" s="16"/>
      <c r="I83" s="16"/>
      <c r="J83" s="16"/>
      <c r="K83" s="16"/>
    </row>
    <row r="84" ht="15.75" customHeight="1">
      <c r="A84" s="16"/>
      <c r="B84" s="16"/>
      <c r="C84" s="16"/>
      <c r="D84" s="16"/>
      <c r="E84" s="16"/>
      <c r="F84" s="16"/>
      <c r="G84" s="16"/>
      <c r="H84" s="16"/>
      <c r="I84" s="16"/>
      <c r="J84" s="16"/>
      <c r="K84" s="16"/>
    </row>
    <row r="85" ht="15.75" customHeight="1">
      <c r="A85" s="16"/>
      <c r="B85" s="16"/>
      <c r="C85" s="16"/>
      <c r="D85" s="16"/>
      <c r="E85" s="16"/>
      <c r="F85" s="16"/>
      <c r="G85" s="16"/>
      <c r="H85" s="16"/>
      <c r="I85" s="16"/>
      <c r="J85" s="16"/>
      <c r="K85" s="16"/>
    </row>
    <row r="86" ht="15.75" customHeight="1">
      <c r="A86" s="16"/>
      <c r="B86" s="16"/>
      <c r="C86" s="16"/>
      <c r="D86" s="16"/>
      <c r="E86" s="16"/>
      <c r="F86" s="16"/>
      <c r="G86" s="16"/>
      <c r="H86" s="16"/>
      <c r="I86" s="16"/>
      <c r="J86" s="16"/>
      <c r="K86" s="16"/>
    </row>
    <row r="87" ht="15.75" customHeight="1">
      <c r="A87" s="16"/>
      <c r="B87" s="16"/>
      <c r="C87" s="16"/>
      <c r="D87" s="16"/>
      <c r="E87" s="16"/>
      <c r="F87" s="16"/>
      <c r="G87" s="16"/>
      <c r="H87" s="16"/>
      <c r="I87" s="16"/>
      <c r="J87" s="16"/>
      <c r="K87" s="16"/>
    </row>
    <row r="88" ht="15.75" customHeight="1">
      <c r="A88" s="16"/>
      <c r="B88" s="16"/>
      <c r="C88" s="16"/>
      <c r="D88" s="16"/>
      <c r="E88" s="16"/>
      <c r="F88" s="16"/>
      <c r="G88" s="16"/>
      <c r="H88" s="16"/>
      <c r="I88" s="16"/>
      <c r="J88" s="16"/>
      <c r="K88" s="16"/>
    </row>
    <row r="89" ht="15.75" customHeight="1">
      <c r="A89" s="16"/>
      <c r="B89" s="16"/>
      <c r="C89" s="16"/>
      <c r="D89" s="16"/>
      <c r="E89" s="16"/>
      <c r="F89" s="16"/>
      <c r="G89" s="16"/>
      <c r="H89" s="16"/>
      <c r="I89" s="16"/>
      <c r="J89" s="16"/>
      <c r="K89" s="16"/>
    </row>
    <row r="90" ht="15.75" customHeight="1">
      <c r="A90" s="16"/>
      <c r="B90" s="16"/>
      <c r="C90" s="16"/>
      <c r="D90" s="16"/>
      <c r="E90" s="16"/>
      <c r="F90" s="16"/>
      <c r="G90" s="16"/>
      <c r="H90" s="16"/>
      <c r="I90" s="16"/>
      <c r="J90" s="16"/>
      <c r="K90" s="16"/>
    </row>
    <row r="91" ht="15.75" customHeight="1">
      <c r="A91" s="16"/>
      <c r="B91" s="16"/>
      <c r="C91" s="16"/>
      <c r="D91" s="16"/>
      <c r="E91" s="16"/>
      <c r="F91" s="16"/>
      <c r="G91" s="16"/>
      <c r="H91" s="16"/>
      <c r="I91" s="16"/>
      <c r="J91" s="16"/>
      <c r="K91" s="16"/>
    </row>
    <row r="92" ht="15.75" customHeight="1">
      <c r="A92" s="16"/>
      <c r="B92" s="16"/>
      <c r="C92" s="16"/>
      <c r="D92" s="16"/>
      <c r="E92" s="16"/>
      <c r="F92" s="16"/>
      <c r="G92" s="16"/>
      <c r="H92" s="16"/>
      <c r="I92" s="16"/>
      <c r="J92" s="16"/>
      <c r="K92" s="16"/>
    </row>
    <row r="93" ht="15.75" customHeight="1">
      <c r="A93" s="16"/>
      <c r="B93" s="16"/>
      <c r="C93" s="16"/>
      <c r="D93" s="16"/>
      <c r="E93" s="16"/>
      <c r="F93" s="16"/>
      <c r="G93" s="16"/>
      <c r="H93" s="16"/>
      <c r="I93" s="16"/>
      <c r="J93" s="16"/>
      <c r="K93" s="16"/>
    </row>
    <row r="94" ht="15.75" customHeight="1">
      <c r="A94" s="16"/>
      <c r="B94" s="16"/>
      <c r="C94" s="16"/>
      <c r="D94" s="16"/>
      <c r="E94" s="16"/>
      <c r="F94" s="16"/>
      <c r="G94" s="16"/>
      <c r="H94" s="16"/>
      <c r="I94" s="16"/>
      <c r="J94" s="16"/>
      <c r="K94" s="16"/>
    </row>
    <row r="95" ht="15.75" customHeight="1">
      <c r="A95" s="16"/>
      <c r="B95" s="16"/>
      <c r="C95" s="16"/>
      <c r="D95" s="16"/>
      <c r="E95" s="16"/>
      <c r="F95" s="16"/>
      <c r="G95" s="16"/>
      <c r="H95" s="16"/>
      <c r="I95" s="16"/>
      <c r="J95" s="16"/>
      <c r="K95" s="16"/>
    </row>
    <row r="96" ht="15.75" customHeight="1">
      <c r="A96" s="16"/>
      <c r="B96" s="16"/>
      <c r="C96" s="16"/>
      <c r="D96" s="16"/>
      <c r="E96" s="16"/>
      <c r="F96" s="16"/>
      <c r="G96" s="16"/>
      <c r="H96" s="16"/>
      <c r="I96" s="16"/>
      <c r="J96" s="16"/>
      <c r="K96" s="16"/>
    </row>
    <row r="97" ht="15.75" customHeight="1">
      <c r="A97" s="16"/>
      <c r="B97" s="16"/>
      <c r="C97" s="16"/>
      <c r="D97" s="16"/>
      <c r="E97" s="16"/>
      <c r="F97" s="16"/>
      <c r="G97" s="16"/>
      <c r="H97" s="16"/>
      <c r="I97" s="16"/>
      <c r="J97" s="16"/>
      <c r="K97" s="16"/>
    </row>
    <row r="98" ht="15.75" customHeight="1">
      <c r="A98" s="16"/>
      <c r="B98" s="16"/>
      <c r="C98" s="16"/>
      <c r="D98" s="16"/>
      <c r="E98" s="16"/>
      <c r="F98" s="16"/>
      <c r="G98" s="16"/>
      <c r="H98" s="16"/>
      <c r="I98" s="16"/>
      <c r="J98" s="16"/>
      <c r="K98" s="16"/>
    </row>
    <row r="99" ht="15.75" customHeight="1">
      <c r="A99" s="16"/>
      <c r="B99" s="16"/>
      <c r="C99" s="16"/>
      <c r="D99" s="16"/>
      <c r="E99" s="16"/>
      <c r="F99" s="16"/>
      <c r="G99" s="16"/>
      <c r="H99" s="16"/>
      <c r="I99" s="16"/>
      <c r="J99" s="16"/>
      <c r="K99" s="16"/>
    </row>
    <row r="100" ht="15.75" customHeight="1">
      <c r="A100" s="16"/>
      <c r="B100" s="16"/>
      <c r="C100" s="16"/>
      <c r="D100" s="16"/>
      <c r="E100" s="16"/>
      <c r="F100" s="16"/>
      <c r="G100" s="16"/>
      <c r="H100" s="16"/>
      <c r="I100" s="16"/>
      <c r="J100" s="16"/>
      <c r="K100" s="16"/>
    </row>
    <row r="101" ht="15.75" customHeight="1">
      <c r="A101" s="16"/>
      <c r="B101" s="16"/>
      <c r="C101" s="16"/>
      <c r="D101" s="16"/>
      <c r="E101" s="16"/>
      <c r="F101" s="16"/>
      <c r="G101" s="16"/>
      <c r="H101" s="16"/>
      <c r="I101" s="16"/>
      <c r="J101" s="16"/>
      <c r="K101" s="16"/>
    </row>
    <row r="102" ht="15.75" customHeight="1">
      <c r="A102" s="16"/>
      <c r="B102" s="16"/>
      <c r="C102" s="16"/>
      <c r="D102" s="16"/>
      <c r="E102" s="16"/>
      <c r="F102" s="16"/>
      <c r="G102" s="16"/>
      <c r="H102" s="16"/>
      <c r="I102" s="16"/>
      <c r="J102" s="16"/>
      <c r="K102" s="16"/>
    </row>
    <row r="103" ht="15.75" customHeight="1">
      <c r="A103" s="16"/>
      <c r="B103" s="16"/>
      <c r="C103" s="16"/>
      <c r="D103" s="16"/>
      <c r="E103" s="16"/>
      <c r="F103" s="16"/>
      <c r="G103" s="16"/>
      <c r="H103" s="16"/>
      <c r="I103" s="16"/>
      <c r="J103" s="16"/>
      <c r="K103" s="16"/>
    </row>
    <row r="104" ht="15.75" customHeight="1">
      <c r="A104" s="16"/>
      <c r="B104" s="16"/>
      <c r="C104" s="16"/>
      <c r="D104" s="16"/>
      <c r="E104" s="16"/>
      <c r="F104" s="16"/>
      <c r="G104" s="16"/>
      <c r="H104" s="16"/>
      <c r="I104" s="16"/>
      <c r="J104" s="16"/>
      <c r="K104" s="16"/>
    </row>
    <row r="105" ht="15.75" customHeight="1">
      <c r="A105" s="16"/>
      <c r="B105" s="16"/>
      <c r="C105" s="16"/>
      <c r="D105" s="16"/>
      <c r="E105" s="16"/>
      <c r="F105" s="16"/>
      <c r="G105" s="16"/>
      <c r="H105" s="16"/>
      <c r="I105" s="16"/>
      <c r="J105" s="16"/>
      <c r="K105" s="16"/>
    </row>
    <row r="106" ht="15.75" customHeight="1">
      <c r="A106" s="16"/>
      <c r="B106" s="16"/>
      <c r="C106" s="16"/>
      <c r="D106" s="16"/>
      <c r="E106" s="16"/>
      <c r="F106" s="16"/>
      <c r="G106" s="16"/>
      <c r="H106" s="16"/>
      <c r="I106" s="16"/>
      <c r="J106" s="16"/>
      <c r="K106" s="16"/>
    </row>
    <row r="107" ht="15.75" customHeight="1">
      <c r="A107" s="16"/>
      <c r="B107" s="16"/>
      <c r="C107" s="16"/>
      <c r="D107" s="16"/>
      <c r="E107" s="16"/>
      <c r="F107" s="16"/>
      <c r="G107" s="16"/>
      <c r="H107" s="16"/>
      <c r="I107" s="16"/>
      <c r="J107" s="16"/>
      <c r="K107" s="16"/>
    </row>
    <row r="108" ht="15.75" customHeight="1">
      <c r="A108" s="16"/>
      <c r="B108" s="16"/>
      <c r="C108" s="16"/>
      <c r="D108" s="16"/>
      <c r="E108" s="16"/>
      <c r="F108" s="16"/>
      <c r="G108" s="16"/>
      <c r="H108" s="16"/>
      <c r="I108" s="16"/>
      <c r="J108" s="16"/>
      <c r="K108" s="16"/>
    </row>
    <row r="109" ht="15.75" customHeight="1">
      <c r="A109" s="16"/>
      <c r="B109" s="16"/>
      <c r="C109" s="16"/>
      <c r="D109" s="16"/>
      <c r="E109" s="16"/>
      <c r="F109" s="16"/>
      <c r="G109" s="16"/>
      <c r="H109" s="16"/>
      <c r="I109" s="16"/>
      <c r="J109" s="16"/>
      <c r="K109" s="16"/>
    </row>
    <row r="110" ht="15.75" customHeight="1">
      <c r="A110" s="16"/>
      <c r="B110" s="16"/>
      <c r="C110" s="16"/>
      <c r="D110" s="16"/>
      <c r="E110" s="16"/>
      <c r="F110" s="16"/>
      <c r="G110" s="16"/>
      <c r="H110" s="16"/>
      <c r="I110" s="16"/>
      <c r="J110" s="16"/>
      <c r="K110" s="16"/>
    </row>
    <row r="111" ht="15.75" customHeight="1">
      <c r="A111" s="16"/>
      <c r="B111" s="16"/>
      <c r="C111" s="16"/>
      <c r="D111" s="16"/>
      <c r="E111" s="16"/>
      <c r="F111" s="16"/>
      <c r="G111" s="16"/>
      <c r="H111" s="16"/>
      <c r="I111" s="16"/>
      <c r="J111" s="16"/>
      <c r="K111" s="16"/>
    </row>
    <row r="112" ht="15.75" customHeight="1">
      <c r="A112" s="16"/>
      <c r="B112" s="16"/>
      <c r="C112" s="16"/>
      <c r="D112" s="16"/>
      <c r="E112" s="16"/>
      <c r="F112" s="16"/>
      <c r="G112" s="16"/>
      <c r="H112" s="16"/>
      <c r="I112" s="16"/>
      <c r="J112" s="16"/>
      <c r="K112" s="16"/>
    </row>
    <row r="113" ht="15.75" customHeight="1">
      <c r="A113" s="16"/>
      <c r="B113" s="16"/>
      <c r="C113" s="16"/>
      <c r="D113" s="16"/>
      <c r="E113" s="16"/>
      <c r="F113" s="16"/>
      <c r="G113" s="16"/>
      <c r="H113" s="16"/>
      <c r="I113" s="16"/>
      <c r="J113" s="16"/>
      <c r="K113" s="16"/>
    </row>
    <row r="114" ht="15.75" customHeight="1">
      <c r="A114" s="16"/>
      <c r="B114" s="16"/>
      <c r="C114" s="16"/>
      <c r="D114" s="16"/>
      <c r="E114" s="16"/>
      <c r="F114" s="16"/>
      <c r="G114" s="16"/>
      <c r="H114" s="16"/>
      <c r="I114" s="16"/>
      <c r="J114" s="16"/>
      <c r="K114" s="16"/>
    </row>
    <row r="115" ht="15.75" customHeight="1">
      <c r="A115" s="16"/>
      <c r="B115" s="16"/>
      <c r="C115" s="16"/>
      <c r="D115" s="16"/>
      <c r="E115" s="16"/>
      <c r="F115" s="16"/>
      <c r="G115" s="16"/>
      <c r="H115" s="16"/>
      <c r="I115" s="16"/>
      <c r="J115" s="16"/>
      <c r="K115" s="16"/>
    </row>
    <row r="116" ht="15.75" customHeight="1">
      <c r="A116" s="16"/>
      <c r="B116" s="16"/>
      <c r="C116" s="16"/>
      <c r="D116" s="16"/>
      <c r="E116" s="16"/>
      <c r="F116" s="16"/>
      <c r="G116" s="16"/>
      <c r="H116" s="16"/>
      <c r="I116" s="16"/>
      <c r="J116" s="16"/>
      <c r="K116" s="16"/>
    </row>
    <row r="117" ht="15.75" customHeight="1">
      <c r="A117" s="16"/>
      <c r="B117" s="16"/>
      <c r="C117" s="16"/>
      <c r="D117" s="16"/>
      <c r="E117" s="16"/>
      <c r="F117" s="16"/>
      <c r="G117" s="16"/>
      <c r="H117" s="16"/>
      <c r="I117" s="16"/>
      <c r="J117" s="16"/>
      <c r="K117" s="16"/>
    </row>
    <row r="118" ht="15.75" customHeight="1">
      <c r="A118" s="16"/>
      <c r="B118" s="16"/>
      <c r="C118" s="16"/>
      <c r="D118" s="16"/>
      <c r="E118" s="16"/>
      <c r="F118" s="16"/>
      <c r="G118" s="16"/>
      <c r="H118" s="16"/>
      <c r="I118" s="16"/>
      <c r="J118" s="16"/>
      <c r="K118" s="16"/>
    </row>
    <row r="119" ht="15.75" customHeight="1">
      <c r="A119" s="16"/>
      <c r="B119" s="16"/>
      <c r="C119" s="16"/>
      <c r="D119" s="16"/>
      <c r="E119" s="16"/>
      <c r="F119" s="16"/>
      <c r="G119" s="16"/>
      <c r="H119" s="16"/>
      <c r="I119" s="16"/>
      <c r="J119" s="16"/>
      <c r="K119" s="16"/>
    </row>
    <row r="120" ht="15.75" customHeight="1">
      <c r="A120" s="16"/>
      <c r="B120" s="16"/>
      <c r="C120" s="16"/>
      <c r="D120" s="16"/>
      <c r="E120" s="16"/>
      <c r="F120" s="16"/>
      <c r="G120" s="16"/>
      <c r="H120" s="16"/>
      <c r="I120" s="16"/>
      <c r="J120" s="16"/>
      <c r="K120" s="16"/>
    </row>
    <row r="121" ht="15.75" customHeight="1">
      <c r="A121" s="16"/>
      <c r="B121" s="16"/>
      <c r="C121" s="16"/>
      <c r="D121" s="16"/>
      <c r="E121" s="16"/>
      <c r="F121" s="16"/>
      <c r="G121" s="16"/>
      <c r="H121" s="16"/>
      <c r="I121" s="16"/>
      <c r="J121" s="16"/>
      <c r="K121" s="16"/>
    </row>
    <row r="122" ht="15.75" customHeight="1">
      <c r="A122" s="16"/>
      <c r="B122" s="16"/>
      <c r="C122" s="16"/>
      <c r="D122" s="16"/>
      <c r="E122" s="16"/>
      <c r="F122" s="16"/>
      <c r="G122" s="16"/>
      <c r="H122" s="16"/>
      <c r="I122" s="16"/>
      <c r="J122" s="16"/>
      <c r="K122" s="16"/>
    </row>
    <row r="123" ht="15.75" customHeight="1">
      <c r="A123" s="16"/>
      <c r="B123" s="16"/>
      <c r="C123" s="16"/>
      <c r="D123" s="16"/>
      <c r="E123" s="16"/>
      <c r="F123" s="16"/>
      <c r="G123" s="16"/>
      <c r="H123" s="16"/>
      <c r="I123" s="16"/>
      <c r="J123" s="16"/>
      <c r="K123" s="16"/>
    </row>
    <row r="124" ht="15.75" customHeight="1">
      <c r="A124" s="16"/>
      <c r="B124" s="16"/>
      <c r="C124" s="16"/>
      <c r="D124" s="16"/>
      <c r="E124" s="16"/>
      <c r="F124" s="16"/>
      <c r="G124" s="16"/>
      <c r="H124" s="16"/>
      <c r="I124" s="16"/>
      <c r="J124" s="16"/>
      <c r="K124" s="16"/>
    </row>
    <row r="125" ht="15.75" customHeight="1">
      <c r="A125" s="16"/>
      <c r="B125" s="16"/>
      <c r="C125" s="16"/>
      <c r="D125" s="16"/>
      <c r="E125" s="16"/>
      <c r="F125" s="16"/>
      <c r="G125" s="16"/>
      <c r="H125" s="16"/>
      <c r="I125" s="16"/>
      <c r="J125" s="16"/>
      <c r="K125" s="16"/>
    </row>
    <row r="126" ht="15.75" customHeight="1">
      <c r="A126" s="16"/>
      <c r="B126" s="16"/>
      <c r="C126" s="16"/>
      <c r="D126" s="16"/>
      <c r="E126" s="16"/>
      <c r="F126" s="16"/>
      <c r="G126" s="16"/>
      <c r="H126" s="16"/>
      <c r="I126" s="16"/>
      <c r="J126" s="16"/>
      <c r="K126" s="16"/>
    </row>
    <row r="127" ht="15.75" customHeight="1">
      <c r="A127" s="16"/>
      <c r="B127" s="16"/>
      <c r="C127" s="16"/>
      <c r="D127" s="16"/>
      <c r="E127" s="16"/>
      <c r="F127" s="16"/>
      <c r="G127" s="16"/>
      <c r="H127" s="16"/>
      <c r="I127" s="16"/>
      <c r="J127" s="16"/>
      <c r="K127" s="16"/>
    </row>
    <row r="128" ht="15.75" customHeight="1">
      <c r="A128" s="16"/>
      <c r="B128" s="16"/>
      <c r="C128" s="16"/>
      <c r="D128" s="16"/>
      <c r="E128" s="16"/>
      <c r="F128" s="16"/>
      <c r="G128" s="16"/>
      <c r="H128" s="16"/>
      <c r="I128" s="16"/>
      <c r="J128" s="16"/>
      <c r="K128" s="16"/>
    </row>
    <row r="129" ht="15.75" customHeight="1">
      <c r="A129" s="16"/>
      <c r="B129" s="16"/>
      <c r="C129" s="16"/>
      <c r="D129" s="16"/>
      <c r="E129" s="16"/>
      <c r="F129" s="16"/>
      <c r="G129" s="16"/>
      <c r="H129" s="16"/>
      <c r="I129" s="16"/>
      <c r="J129" s="16"/>
      <c r="K129" s="16"/>
    </row>
    <row r="130" ht="15.75" customHeight="1">
      <c r="A130" s="16"/>
      <c r="B130" s="16"/>
      <c r="C130" s="16"/>
      <c r="D130" s="16"/>
      <c r="E130" s="16"/>
      <c r="F130" s="16"/>
      <c r="G130" s="16"/>
      <c r="H130" s="16"/>
      <c r="I130" s="16"/>
      <c r="J130" s="16"/>
      <c r="K130" s="16"/>
    </row>
    <row r="131" ht="15.75" customHeight="1">
      <c r="A131" s="16"/>
      <c r="B131" s="16"/>
      <c r="C131" s="16"/>
      <c r="D131" s="16"/>
      <c r="E131" s="16"/>
      <c r="F131" s="16"/>
      <c r="G131" s="16"/>
      <c r="H131" s="16"/>
      <c r="I131" s="16"/>
      <c r="J131" s="16"/>
      <c r="K131" s="16"/>
    </row>
    <row r="132" ht="15.75" customHeight="1">
      <c r="A132" s="16"/>
      <c r="B132" s="16"/>
      <c r="C132" s="16"/>
      <c r="D132" s="16"/>
      <c r="E132" s="16"/>
      <c r="F132" s="16"/>
      <c r="G132" s="16"/>
      <c r="H132" s="16"/>
      <c r="I132" s="16"/>
      <c r="J132" s="16"/>
      <c r="K132" s="16"/>
    </row>
    <row r="133" ht="15.75" customHeight="1">
      <c r="A133" s="16"/>
      <c r="B133" s="16"/>
      <c r="C133" s="16"/>
      <c r="D133" s="16"/>
      <c r="E133" s="16"/>
      <c r="F133" s="16"/>
      <c r="G133" s="16"/>
      <c r="H133" s="16"/>
      <c r="I133" s="16"/>
      <c r="J133" s="16"/>
      <c r="K133" s="16"/>
    </row>
    <row r="134" ht="15.75" customHeight="1">
      <c r="A134" s="16"/>
      <c r="B134" s="16"/>
      <c r="C134" s="16"/>
      <c r="D134" s="16"/>
      <c r="E134" s="16"/>
      <c r="F134" s="16"/>
      <c r="G134" s="16"/>
      <c r="H134" s="16"/>
      <c r="I134" s="16"/>
      <c r="J134" s="16"/>
      <c r="K134" s="16"/>
    </row>
    <row r="135" ht="15.75" customHeight="1">
      <c r="A135" s="16"/>
      <c r="B135" s="16"/>
      <c r="C135" s="16"/>
      <c r="D135" s="16"/>
      <c r="E135" s="16"/>
      <c r="F135" s="16"/>
      <c r="G135" s="16"/>
      <c r="H135" s="16"/>
      <c r="I135" s="16"/>
      <c r="J135" s="16"/>
      <c r="K135" s="16"/>
    </row>
    <row r="136" ht="15.75" customHeight="1">
      <c r="A136" s="16"/>
      <c r="B136" s="16"/>
      <c r="C136" s="16"/>
      <c r="D136" s="16"/>
      <c r="E136" s="16"/>
      <c r="F136" s="16"/>
      <c r="G136" s="16"/>
      <c r="H136" s="16"/>
      <c r="I136" s="16"/>
      <c r="J136" s="16"/>
      <c r="K136" s="16"/>
    </row>
    <row r="137" ht="15.75" customHeight="1">
      <c r="A137" s="16"/>
      <c r="B137" s="16"/>
      <c r="C137" s="16"/>
      <c r="D137" s="16"/>
      <c r="E137" s="16"/>
      <c r="F137" s="16"/>
      <c r="G137" s="16"/>
      <c r="H137" s="16"/>
      <c r="I137" s="16"/>
      <c r="J137" s="16"/>
      <c r="K137" s="16"/>
    </row>
    <row r="138" ht="15.75" customHeight="1">
      <c r="A138" s="16"/>
      <c r="B138" s="16"/>
      <c r="C138" s="16"/>
      <c r="D138" s="16"/>
      <c r="E138" s="16"/>
      <c r="F138" s="16"/>
      <c r="G138" s="16"/>
      <c r="H138" s="16"/>
      <c r="I138" s="16"/>
      <c r="J138" s="16"/>
      <c r="K138" s="16"/>
    </row>
    <row r="139" ht="15.75" customHeight="1">
      <c r="A139" s="16"/>
      <c r="B139" s="16"/>
      <c r="C139" s="16"/>
      <c r="D139" s="16"/>
      <c r="E139" s="16"/>
      <c r="F139" s="16"/>
      <c r="G139" s="16"/>
      <c r="H139" s="16"/>
      <c r="I139" s="16"/>
      <c r="J139" s="16"/>
      <c r="K139" s="16"/>
    </row>
    <row r="140" ht="15.75" customHeight="1">
      <c r="A140" s="16"/>
      <c r="B140" s="16"/>
      <c r="C140" s="16"/>
      <c r="D140" s="16"/>
      <c r="E140" s="16"/>
      <c r="F140" s="16"/>
      <c r="G140" s="16"/>
      <c r="H140" s="16"/>
      <c r="I140" s="16"/>
      <c r="J140" s="16"/>
      <c r="K140" s="16"/>
    </row>
    <row r="141" ht="15.75" customHeight="1">
      <c r="A141" s="16"/>
      <c r="B141" s="16"/>
      <c r="C141" s="16"/>
      <c r="D141" s="16"/>
      <c r="E141" s="16"/>
      <c r="F141" s="16"/>
      <c r="G141" s="16"/>
      <c r="H141" s="16"/>
      <c r="I141" s="16"/>
      <c r="J141" s="16"/>
      <c r="K141" s="16"/>
    </row>
    <row r="142" ht="15.75" customHeight="1">
      <c r="A142" s="16"/>
      <c r="B142" s="16"/>
      <c r="C142" s="16"/>
      <c r="D142" s="16"/>
      <c r="E142" s="16"/>
      <c r="F142" s="16"/>
      <c r="G142" s="16"/>
      <c r="H142" s="16"/>
      <c r="I142" s="16"/>
      <c r="J142" s="16"/>
      <c r="K142" s="16"/>
    </row>
    <row r="143" ht="15.75" customHeight="1">
      <c r="A143" s="16"/>
      <c r="B143" s="16"/>
      <c r="C143" s="16"/>
      <c r="D143" s="16"/>
      <c r="E143" s="16"/>
      <c r="F143" s="16"/>
      <c r="G143" s="16"/>
      <c r="H143" s="16"/>
      <c r="I143" s="16"/>
      <c r="J143" s="16"/>
      <c r="K143" s="16"/>
    </row>
    <row r="144" ht="15.75" customHeight="1">
      <c r="A144" s="16"/>
      <c r="B144" s="16"/>
      <c r="C144" s="16"/>
      <c r="D144" s="16"/>
      <c r="E144" s="16"/>
      <c r="F144" s="16"/>
      <c r="G144" s="16"/>
      <c r="H144" s="16"/>
      <c r="I144" s="16"/>
      <c r="J144" s="16"/>
      <c r="K144" s="16"/>
    </row>
    <row r="145" ht="15.75" customHeight="1">
      <c r="A145" s="16"/>
      <c r="B145" s="16"/>
      <c r="C145" s="16"/>
      <c r="D145" s="16"/>
      <c r="E145" s="16"/>
      <c r="F145" s="16"/>
      <c r="G145" s="16"/>
      <c r="H145" s="16"/>
      <c r="I145" s="16"/>
      <c r="J145" s="16"/>
      <c r="K145" s="16"/>
    </row>
    <row r="146" ht="15.75" customHeight="1">
      <c r="A146" s="16"/>
      <c r="B146" s="16"/>
      <c r="C146" s="16"/>
      <c r="D146" s="16"/>
      <c r="E146" s="16"/>
      <c r="F146" s="16"/>
      <c r="G146" s="16"/>
      <c r="H146" s="16"/>
      <c r="I146" s="16"/>
      <c r="J146" s="16"/>
      <c r="K146" s="16"/>
    </row>
    <row r="147" ht="15.75" customHeight="1">
      <c r="A147" s="16"/>
      <c r="B147" s="16"/>
      <c r="C147" s="16"/>
      <c r="D147" s="16"/>
      <c r="E147" s="16"/>
      <c r="F147" s="16"/>
      <c r="G147" s="16"/>
      <c r="H147" s="16"/>
      <c r="I147" s="16"/>
      <c r="J147" s="16"/>
      <c r="K147" s="16"/>
    </row>
    <row r="148" ht="15.75" customHeight="1">
      <c r="A148" s="16"/>
      <c r="B148" s="16"/>
      <c r="C148" s="16"/>
      <c r="D148" s="16"/>
      <c r="E148" s="16"/>
      <c r="F148" s="16"/>
      <c r="G148" s="16"/>
      <c r="H148" s="16"/>
      <c r="I148" s="16"/>
      <c r="J148" s="16"/>
      <c r="K148" s="16"/>
    </row>
    <row r="149" ht="15.75" customHeight="1">
      <c r="A149" s="16"/>
      <c r="B149" s="16"/>
      <c r="C149" s="16"/>
      <c r="D149" s="16"/>
      <c r="E149" s="16"/>
      <c r="F149" s="16"/>
      <c r="G149" s="16"/>
      <c r="H149" s="16"/>
      <c r="I149" s="16"/>
      <c r="J149" s="16"/>
      <c r="K149" s="16"/>
    </row>
    <row r="150" ht="15.75" customHeight="1">
      <c r="A150" s="16"/>
      <c r="B150" s="16"/>
      <c r="C150" s="16"/>
      <c r="D150" s="16"/>
      <c r="E150" s="16"/>
      <c r="F150" s="16"/>
      <c r="G150" s="16"/>
      <c r="H150" s="16"/>
      <c r="I150" s="16"/>
      <c r="J150" s="16"/>
      <c r="K150" s="16"/>
    </row>
    <row r="151" ht="15.75" customHeight="1">
      <c r="A151" s="16"/>
      <c r="B151" s="16"/>
      <c r="C151" s="16"/>
      <c r="D151" s="16"/>
      <c r="E151" s="16"/>
      <c r="F151" s="16"/>
      <c r="G151" s="16"/>
      <c r="H151" s="16"/>
      <c r="I151" s="16"/>
      <c r="J151" s="16"/>
      <c r="K151" s="16"/>
    </row>
    <row r="152" ht="15.75" customHeight="1">
      <c r="A152" s="16"/>
      <c r="B152" s="16"/>
      <c r="C152" s="16"/>
      <c r="D152" s="16"/>
      <c r="E152" s="16"/>
      <c r="F152" s="16"/>
      <c r="G152" s="16"/>
      <c r="H152" s="16"/>
      <c r="I152" s="16"/>
      <c r="J152" s="16"/>
      <c r="K152" s="16"/>
    </row>
    <row r="153" ht="15.75" customHeight="1">
      <c r="A153" s="16"/>
      <c r="B153" s="16"/>
      <c r="C153" s="16"/>
      <c r="D153" s="16"/>
      <c r="E153" s="16"/>
      <c r="F153" s="16"/>
      <c r="G153" s="16"/>
      <c r="H153" s="16"/>
      <c r="I153" s="16"/>
      <c r="J153" s="16"/>
      <c r="K153" s="16"/>
    </row>
    <row r="154" ht="15.75" customHeight="1">
      <c r="A154" s="16"/>
      <c r="B154" s="16"/>
      <c r="C154" s="16"/>
      <c r="D154" s="16"/>
      <c r="E154" s="16"/>
      <c r="F154" s="16"/>
      <c r="G154" s="16"/>
      <c r="H154" s="16"/>
      <c r="I154" s="16"/>
      <c r="J154" s="16"/>
      <c r="K154" s="16"/>
    </row>
    <row r="155" ht="15.75" customHeight="1">
      <c r="A155" s="16"/>
      <c r="B155" s="16"/>
      <c r="C155" s="16"/>
      <c r="D155" s="16"/>
      <c r="E155" s="16"/>
      <c r="F155" s="16"/>
      <c r="G155" s="16"/>
      <c r="H155" s="16"/>
      <c r="I155" s="16"/>
      <c r="J155" s="16"/>
      <c r="K155" s="16"/>
    </row>
    <row r="156" ht="15.75" customHeight="1">
      <c r="A156" s="16"/>
      <c r="B156" s="16"/>
      <c r="C156" s="16"/>
      <c r="D156" s="16"/>
      <c r="E156" s="16"/>
      <c r="F156" s="16"/>
      <c r="G156" s="16"/>
      <c r="H156" s="16"/>
      <c r="I156" s="16"/>
      <c r="J156" s="16"/>
      <c r="K156" s="16"/>
    </row>
    <row r="157" ht="15.75" customHeight="1">
      <c r="A157" s="16"/>
      <c r="B157" s="16"/>
      <c r="C157" s="16"/>
      <c r="D157" s="16"/>
      <c r="E157" s="16"/>
      <c r="F157" s="16"/>
      <c r="G157" s="16"/>
      <c r="H157" s="16"/>
      <c r="I157" s="16"/>
      <c r="J157" s="16"/>
      <c r="K157" s="16"/>
    </row>
    <row r="158" ht="15.75" customHeight="1">
      <c r="A158" s="16"/>
      <c r="B158" s="16"/>
      <c r="C158" s="16"/>
      <c r="D158" s="16"/>
      <c r="E158" s="16"/>
      <c r="F158" s="16"/>
      <c r="G158" s="16"/>
      <c r="H158" s="16"/>
      <c r="I158" s="16"/>
      <c r="J158" s="16"/>
      <c r="K158" s="16"/>
    </row>
    <row r="159" ht="15.75" customHeight="1">
      <c r="A159" s="16"/>
      <c r="B159" s="16"/>
      <c r="C159" s="16"/>
      <c r="D159" s="16"/>
      <c r="E159" s="16"/>
      <c r="F159" s="16"/>
      <c r="G159" s="16"/>
      <c r="H159" s="16"/>
      <c r="I159" s="16"/>
      <c r="J159" s="16"/>
      <c r="K159" s="16"/>
    </row>
    <row r="160" ht="15.75" customHeight="1">
      <c r="A160" s="16"/>
      <c r="B160" s="16"/>
      <c r="C160" s="16"/>
      <c r="D160" s="16"/>
      <c r="E160" s="16"/>
      <c r="F160" s="16"/>
      <c r="G160" s="16"/>
      <c r="H160" s="16"/>
      <c r="I160" s="16"/>
      <c r="J160" s="16"/>
      <c r="K160" s="16"/>
    </row>
    <row r="161" ht="15.75" customHeight="1">
      <c r="A161" s="16"/>
      <c r="B161" s="16"/>
      <c r="C161" s="16"/>
      <c r="D161" s="16"/>
      <c r="E161" s="16"/>
      <c r="F161" s="16"/>
      <c r="G161" s="16"/>
      <c r="H161" s="16"/>
      <c r="I161" s="16"/>
      <c r="J161" s="16"/>
      <c r="K161" s="16"/>
    </row>
    <row r="162" ht="15.75" customHeight="1">
      <c r="A162" s="16"/>
      <c r="B162" s="16"/>
      <c r="C162" s="16"/>
      <c r="D162" s="16"/>
      <c r="E162" s="16"/>
      <c r="F162" s="16"/>
      <c r="G162" s="16"/>
      <c r="H162" s="16"/>
      <c r="I162" s="16"/>
      <c r="J162" s="16"/>
      <c r="K162" s="16"/>
    </row>
    <row r="163" ht="15.75" customHeight="1">
      <c r="A163" s="16"/>
      <c r="B163" s="16"/>
      <c r="C163" s="16"/>
      <c r="D163" s="16"/>
      <c r="E163" s="16"/>
      <c r="F163" s="16"/>
      <c r="G163" s="16"/>
      <c r="H163" s="16"/>
      <c r="I163" s="16"/>
      <c r="J163" s="16"/>
      <c r="K163" s="16"/>
    </row>
    <row r="164" ht="15.75" customHeight="1">
      <c r="A164" s="16"/>
      <c r="B164" s="16"/>
      <c r="C164" s="16"/>
      <c r="D164" s="16"/>
      <c r="E164" s="16"/>
      <c r="F164" s="16"/>
      <c r="G164" s="16"/>
      <c r="H164" s="16"/>
      <c r="I164" s="16"/>
      <c r="J164" s="16"/>
      <c r="K164" s="16"/>
    </row>
    <row r="165" ht="15.75" customHeight="1">
      <c r="A165" s="16"/>
      <c r="B165" s="16"/>
      <c r="C165" s="16"/>
      <c r="D165" s="16"/>
      <c r="E165" s="16"/>
      <c r="F165" s="16"/>
      <c r="G165" s="16"/>
      <c r="H165" s="16"/>
      <c r="I165" s="16"/>
      <c r="J165" s="16"/>
      <c r="K165" s="16"/>
    </row>
    <row r="166" ht="15.75" customHeight="1">
      <c r="A166" s="16"/>
      <c r="B166" s="16"/>
      <c r="C166" s="16"/>
      <c r="D166" s="16"/>
      <c r="E166" s="16"/>
      <c r="F166" s="16"/>
      <c r="G166" s="16"/>
      <c r="H166" s="16"/>
      <c r="I166" s="16"/>
      <c r="J166" s="16"/>
      <c r="K166" s="16"/>
    </row>
    <row r="167" ht="15.75" customHeight="1">
      <c r="A167" s="16"/>
      <c r="B167" s="16"/>
      <c r="C167" s="16"/>
      <c r="D167" s="16"/>
      <c r="E167" s="16"/>
      <c r="F167" s="16"/>
      <c r="G167" s="16"/>
      <c r="H167" s="16"/>
      <c r="I167" s="16"/>
      <c r="J167" s="16"/>
      <c r="K167" s="16"/>
    </row>
    <row r="168" ht="15.75" customHeight="1">
      <c r="A168" s="16"/>
      <c r="B168" s="16"/>
      <c r="C168" s="16"/>
      <c r="D168" s="16"/>
      <c r="E168" s="16"/>
      <c r="F168" s="16"/>
      <c r="G168" s="16"/>
      <c r="H168" s="16"/>
      <c r="I168" s="16"/>
      <c r="J168" s="16"/>
      <c r="K168" s="16"/>
    </row>
    <row r="169" ht="15.75" customHeight="1">
      <c r="A169" s="16"/>
      <c r="B169" s="16"/>
      <c r="C169" s="16"/>
      <c r="D169" s="16"/>
      <c r="E169" s="16"/>
      <c r="F169" s="16"/>
      <c r="G169" s="16"/>
      <c r="H169" s="16"/>
      <c r="I169" s="16"/>
      <c r="J169" s="16"/>
      <c r="K169" s="16"/>
    </row>
    <row r="170" ht="15.75" customHeight="1">
      <c r="A170" s="16"/>
      <c r="B170" s="16"/>
      <c r="C170" s="16"/>
      <c r="D170" s="16"/>
      <c r="E170" s="16"/>
      <c r="F170" s="16"/>
      <c r="G170" s="16"/>
      <c r="H170" s="16"/>
      <c r="I170" s="16"/>
      <c r="J170" s="16"/>
      <c r="K170" s="16"/>
    </row>
    <row r="171" ht="15.75" customHeight="1">
      <c r="A171" s="16"/>
      <c r="B171" s="16"/>
      <c r="C171" s="16"/>
      <c r="D171" s="16"/>
      <c r="E171" s="16"/>
      <c r="F171" s="16"/>
      <c r="G171" s="16"/>
      <c r="H171" s="16"/>
      <c r="I171" s="16"/>
      <c r="J171" s="16"/>
      <c r="K171" s="16"/>
    </row>
    <row r="172" ht="15.75" customHeight="1">
      <c r="A172" s="16"/>
      <c r="B172" s="16"/>
      <c r="C172" s="16"/>
      <c r="D172" s="16"/>
      <c r="E172" s="16"/>
      <c r="F172" s="16"/>
      <c r="G172" s="16"/>
      <c r="H172" s="16"/>
      <c r="I172" s="16"/>
      <c r="J172" s="16"/>
      <c r="K172" s="16"/>
    </row>
    <row r="173" ht="15.75" customHeight="1">
      <c r="A173" s="16"/>
      <c r="B173" s="16"/>
      <c r="C173" s="16"/>
      <c r="D173" s="16"/>
      <c r="E173" s="16"/>
      <c r="F173" s="16"/>
      <c r="G173" s="16"/>
      <c r="H173" s="16"/>
      <c r="I173" s="16"/>
      <c r="J173" s="16"/>
      <c r="K173" s="16"/>
    </row>
    <row r="174" ht="15.75" customHeight="1">
      <c r="A174" s="16"/>
      <c r="B174" s="16"/>
      <c r="C174" s="16"/>
      <c r="D174" s="16"/>
      <c r="E174" s="16"/>
      <c r="F174" s="16"/>
      <c r="G174" s="16"/>
      <c r="H174" s="16"/>
      <c r="I174" s="16"/>
      <c r="J174" s="16"/>
      <c r="K174" s="16"/>
    </row>
    <row r="175" ht="15.75" customHeight="1">
      <c r="A175" s="16"/>
      <c r="B175" s="16"/>
      <c r="C175" s="16"/>
      <c r="D175" s="16"/>
      <c r="E175" s="16"/>
      <c r="F175" s="16"/>
      <c r="G175" s="16"/>
      <c r="H175" s="16"/>
      <c r="I175" s="16"/>
      <c r="J175" s="16"/>
      <c r="K175" s="16"/>
    </row>
    <row r="176" ht="15.75" customHeight="1">
      <c r="A176" s="16"/>
      <c r="B176" s="16"/>
      <c r="C176" s="16"/>
      <c r="D176" s="16"/>
      <c r="E176" s="16"/>
      <c r="F176" s="16"/>
      <c r="G176" s="16"/>
      <c r="H176" s="16"/>
      <c r="I176" s="16"/>
      <c r="J176" s="16"/>
      <c r="K176" s="16"/>
    </row>
    <row r="177" ht="15.75" customHeight="1">
      <c r="A177" s="16"/>
      <c r="B177" s="16"/>
      <c r="C177" s="16"/>
      <c r="D177" s="16"/>
      <c r="E177" s="16"/>
      <c r="F177" s="16"/>
      <c r="G177" s="16"/>
      <c r="H177" s="16"/>
      <c r="I177" s="16"/>
      <c r="J177" s="16"/>
      <c r="K177" s="16"/>
    </row>
    <row r="178" ht="15.75" customHeight="1">
      <c r="A178" s="16"/>
      <c r="B178" s="16"/>
      <c r="C178" s="16"/>
      <c r="D178" s="16"/>
      <c r="E178" s="16"/>
      <c r="F178" s="16"/>
      <c r="G178" s="16"/>
      <c r="H178" s="16"/>
      <c r="I178" s="16"/>
      <c r="J178" s="16"/>
      <c r="K178" s="16"/>
    </row>
    <row r="179" ht="15.75" customHeight="1">
      <c r="A179" s="16"/>
      <c r="B179" s="16"/>
      <c r="C179" s="16"/>
      <c r="D179" s="16"/>
      <c r="E179" s="16"/>
      <c r="F179" s="16"/>
      <c r="G179" s="16"/>
      <c r="H179" s="16"/>
      <c r="I179" s="16"/>
      <c r="J179" s="16"/>
      <c r="K179" s="16"/>
    </row>
    <row r="180" ht="15.75" customHeight="1">
      <c r="A180" s="16"/>
      <c r="B180" s="16"/>
      <c r="C180" s="16"/>
      <c r="D180" s="16"/>
      <c r="E180" s="16"/>
      <c r="F180" s="16"/>
      <c r="G180" s="16"/>
      <c r="H180" s="16"/>
      <c r="I180" s="16"/>
      <c r="J180" s="16"/>
      <c r="K180" s="16"/>
    </row>
    <row r="181" ht="15.75" customHeight="1">
      <c r="A181" s="16"/>
      <c r="B181" s="16"/>
      <c r="C181" s="16"/>
      <c r="D181" s="16"/>
      <c r="E181" s="16"/>
      <c r="F181" s="16"/>
      <c r="G181" s="16"/>
      <c r="H181" s="16"/>
      <c r="I181" s="16"/>
      <c r="J181" s="16"/>
      <c r="K181" s="16"/>
    </row>
    <row r="182" ht="15.75" customHeight="1">
      <c r="A182" s="16"/>
      <c r="B182" s="16"/>
      <c r="C182" s="16"/>
      <c r="D182" s="16"/>
      <c r="E182" s="16"/>
      <c r="F182" s="16"/>
      <c r="G182" s="16"/>
      <c r="H182" s="16"/>
      <c r="I182" s="16"/>
      <c r="J182" s="16"/>
      <c r="K182" s="16"/>
    </row>
    <row r="183" ht="15.75" customHeight="1">
      <c r="A183" s="16"/>
      <c r="B183" s="16"/>
      <c r="C183" s="16"/>
      <c r="D183" s="16"/>
      <c r="E183" s="16"/>
      <c r="F183" s="16"/>
      <c r="G183" s="16"/>
      <c r="H183" s="16"/>
      <c r="I183" s="16"/>
      <c r="J183" s="16"/>
      <c r="K183" s="16"/>
    </row>
    <row r="184" ht="15.75" customHeight="1">
      <c r="A184" s="16"/>
      <c r="B184" s="16"/>
      <c r="C184" s="16"/>
      <c r="D184" s="16"/>
      <c r="E184" s="16"/>
      <c r="F184" s="16"/>
      <c r="G184" s="16"/>
      <c r="H184" s="16"/>
      <c r="I184" s="16"/>
      <c r="J184" s="16"/>
      <c r="K184" s="16"/>
    </row>
    <row r="185" ht="15.75" customHeight="1">
      <c r="A185" s="16"/>
      <c r="B185" s="16"/>
      <c r="C185" s="16"/>
      <c r="D185" s="16"/>
      <c r="E185" s="16"/>
      <c r="F185" s="16"/>
      <c r="G185" s="16"/>
      <c r="H185" s="16"/>
      <c r="I185" s="16"/>
      <c r="J185" s="16"/>
      <c r="K185" s="16"/>
    </row>
    <row r="186" ht="15.75" customHeight="1">
      <c r="A186" s="16"/>
      <c r="B186" s="16"/>
      <c r="C186" s="16"/>
      <c r="D186" s="16"/>
      <c r="E186" s="16"/>
      <c r="F186" s="16"/>
      <c r="G186" s="16"/>
      <c r="H186" s="16"/>
      <c r="I186" s="16"/>
      <c r="J186" s="16"/>
      <c r="K186" s="16"/>
    </row>
    <row r="187" ht="15.75" customHeight="1">
      <c r="A187" s="16"/>
      <c r="B187" s="16"/>
      <c r="C187" s="16"/>
      <c r="D187" s="16"/>
      <c r="E187" s="16"/>
      <c r="F187" s="16"/>
      <c r="G187" s="16"/>
      <c r="H187" s="16"/>
      <c r="I187" s="16"/>
      <c r="J187" s="16"/>
      <c r="K187" s="16"/>
    </row>
    <row r="188" ht="15.75" customHeight="1">
      <c r="A188" s="16"/>
      <c r="B188" s="16"/>
      <c r="C188" s="16"/>
      <c r="D188" s="16"/>
      <c r="E188" s="16"/>
      <c r="F188" s="16"/>
      <c r="G188" s="16"/>
      <c r="H188" s="16"/>
      <c r="I188" s="16"/>
      <c r="J188" s="16"/>
      <c r="K188" s="16"/>
    </row>
    <row r="189" ht="15.75" customHeight="1">
      <c r="A189" s="16"/>
      <c r="B189" s="16"/>
      <c r="C189" s="16"/>
      <c r="D189" s="16"/>
      <c r="E189" s="16"/>
      <c r="F189" s="16"/>
      <c r="G189" s="16"/>
      <c r="H189" s="16"/>
      <c r="I189" s="16"/>
      <c r="J189" s="16"/>
      <c r="K189" s="16"/>
    </row>
    <row r="190" ht="15.75" customHeight="1">
      <c r="A190" s="16"/>
      <c r="B190" s="16"/>
      <c r="C190" s="16"/>
      <c r="D190" s="16"/>
      <c r="E190" s="16"/>
      <c r="F190" s="16"/>
      <c r="G190" s="16"/>
      <c r="H190" s="16"/>
      <c r="I190" s="16"/>
      <c r="J190" s="16"/>
      <c r="K190" s="16"/>
    </row>
    <row r="191" ht="15.75" customHeight="1">
      <c r="A191" s="16"/>
      <c r="B191" s="16"/>
      <c r="C191" s="16"/>
      <c r="D191" s="16"/>
      <c r="E191" s="16"/>
      <c r="F191" s="16"/>
      <c r="G191" s="16"/>
      <c r="H191" s="16"/>
      <c r="I191" s="16"/>
      <c r="J191" s="16"/>
      <c r="K191" s="16"/>
    </row>
    <row r="192" ht="15.75" customHeight="1">
      <c r="A192" s="16"/>
      <c r="B192" s="16"/>
      <c r="C192" s="16"/>
      <c r="D192" s="16"/>
      <c r="E192" s="16"/>
      <c r="F192" s="16"/>
      <c r="G192" s="16"/>
      <c r="H192" s="16"/>
      <c r="I192" s="16"/>
      <c r="J192" s="16"/>
      <c r="K192" s="16"/>
    </row>
    <row r="193" ht="15.75" customHeight="1">
      <c r="A193" s="16"/>
      <c r="B193" s="16"/>
      <c r="C193" s="16"/>
      <c r="D193" s="16"/>
      <c r="E193" s="16"/>
      <c r="F193" s="16"/>
      <c r="G193" s="16"/>
      <c r="H193" s="16"/>
      <c r="I193" s="16"/>
      <c r="J193" s="16"/>
      <c r="K193" s="16"/>
    </row>
    <row r="194" ht="15.75" customHeight="1">
      <c r="A194" s="16"/>
      <c r="B194" s="16"/>
      <c r="C194" s="16"/>
      <c r="D194" s="16"/>
      <c r="E194" s="16"/>
      <c r="F194" s="16"/>
      <c r="G194" s="16"/>
      <c r="H194" s="16"/>
      <c r="I194" s="16"/>
      <c r="J194" s="16"/>
      <c r="K194" s="16"/>
    </row>
    <row r="195" ht="15.75" customHeight="1">
      <c r="A195" s="16"/>
      <c r="B195" s="16"/>
      <c r="C195" s="16"/>
      <c r="D195" s="16"/>
      <c r="E195" s="16"/>
      <c r="F195" s="16"/>
      <c r="G195" s="16"/>
      <c r="H195" s="16"/>
      <c r="I195" s="16"/>
      <c r="J195" s="16"/>
      <c r="K195" s="16"/>
    </row>
    <row r="196" ht="15.75" customHeight="1">
      <c r="A196" s="16"/>
      <c r="B196" s="16"/>
      <c r="C196" s="16"/>
      <c r="D196" s="16"/>
      <c r="E196" s="16"/>
      <c r="F196" s="16"/>
      <c r="G196" s="16"/>
      <c r="H196" s="16"/>
      <c r="I196" s="16"/>
      <c r="J196" s="16"/>
      <c r="K196" s="16"/>
    </row>
    <row r="197" ht="15.75" customHeight="1">
      <c r="A197" s="16"/>
      <c r="B197" s="16"/>
      <c r="C197" s="16"/>
      <c r="D197" s="16"/>
      <c r="E197" s="16"/>
      <c r="F197" s="16"/>
      <c r="G197" s="16"/>
      <c r="H197" s="16"/>
      <c r="I197" s="16"/>
      <c r="J197" s="16"/>
      <c r="K197" s="16"/>
    </row>
    <row r="198" ht="15.75" customHeight="1">
      <c r="A198" s="16"/>
      <c r="B198" s="16"/>
      <c r="C198" s="16"/>
      <c r="D198" s="16"/>
      <c r="E198" s="16"/>
      <c r="F198" s="16"/>
      <c r="G198" s="16"/>
      <c r="H198" s="16"/>
      <c r="I198" s="16"/>
      <c r="J198" s="16"/>
      <c r="K198" s="16"/>
    </row>
    <row r="199" ht="15.75" customHeight="1">
      <c r="A199" s="16"/>
      <c r="B199" s="16"/>
      <c r="C199" s="16"/>
      <c r="D199" s="16"/>
      <c r="E199" s="16"/>
      <c r="F199" s="16"/>
      <c r="G199" s="16"/>
      <c r="H199" s="16"/>
      <c r="I199" s="16"/>
      <c r="J199" s="16"/>
      <c r="K199" s="16"/>
    </row>
    <row r="200" ht="15.75" customHeight="1">
      <c r="A200" s="16"/>
      <c r="B200" s="16"/>
      <c r="C200" s="16"/>
      <c r="D200" s="16"/>
      <c r="E200" s="16"/>
      <c r="F200" s="16"/>
      <c r="G200" s="16"/>
      <c r="H200" s="16"/>
      <c r="I200" s="16"/>
      <c r="J200" s="16"/>
      <c r="K200" s="16"/>
    </row>
    <row r="201" ht="15.75" customHeight="1">
      <c r="A201" s="16"/>
      <c r="B201" s="16"/>
      <c r="C201" s="16"/>
      <c r="D201" s="16"/>
      <c r="E201" s="16"/>
      <c r="F201" s="16"/>
      <c r="G201" s="16"/>
      <c r="H201" s="16"/>
      <c r="I201" s="16"/>
      <c r="J201" s="16"/>
      <c r="K201" s="16"/>
    </row>
    <row r="202" ht="15.75" customHeight="1">
      <c r="A202" s="16"/>
      <c r="B202" s="16"/>
      <c r="C202" s="16"/>
      <c r="D202" s="16"/>
      <c r="E202" s="16"/>
      <c r="F202" s="16"/>
      <c r="G202" s="16"/>
      <c r="H202" s="16"/>
      <c r="I202" s="16"/>
      <c r="J202" s="16"/>
      <c r="K202" s="16"/>
    </row>
    <row r="203" ht="15.75" customHeight="1">
      <c r="A203" s="16"/>
      <c r="B203" s="16"/>
      <c r="C203" s="16"/>
      <c r="D203" s="16"/>
      <c r="E203" s="16"/>
      <c r="F203" s="16"/>
      <c r="G203" s="16"/>
      <c r="H203" s="16"/>
      <c r="I203" s="16"/>
      <c r="J203" s="16"/>
      <c r="K203" s="16"/>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K$203"/>
  <conditionalFormatting sqref="B4:K203">
    <cfRule type="expression" dxfId="0" priority="1">
      <formula>AND($A4&lt;&gt;"",B4="")</formula>
    </cfRule>
  </conditionalFormatting>
  <dataValidations>
    <dataValidation type="list" allowBlank="1" sqref="A4:A203">
      <formula1>"C0,C1,C2"</formula1>
    </dataValidation>
    <dataValidation type="list" allowBlank="1" sqref="F4:F203">
      <formula1>"Correção semântica,Complementação de cobertura,Remoção de cenário sem correspondência,Ajuste de granularidade,Correção de terminologia,Correção de rastreabilidade,Correção técnica de automação,Remoção de cenário espúrio,Outra"</formula1>
    </dataValidation>
    <dataValidation type="list" allowBlank="1" sqref="C4:C203">
      <formula1>"E1,E2,E3"</formula1>
    </dataValidation>
  </dataValidations>
  <hyperlinks>
    <hyperlink r:id="rId1" ref="H4"/>
  </hyperlinks>
  <printOptions/>
  <pageMargins bottom="1.0" footer="0.0" header="0.0" left="0.75" right="0.75" top="1.0"/>
  <pageSetup paperSize="9" orientation="portrait"/>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1.0"/>
    <col customWidth="1" min="2" max="3" width="12.0"/>
    <col customWidth="1" min="4" max="4" width="20.0"/>
    <col customWidth="1" min="5" max="5" width="36.0"/>
    <col customWidth="1" min="6" max="6" width="20.0"/>
    <col customWidth="1" min="7" max="7" width="12.0"/>
    <col customWidth="1" min="8" max="9" width="20.0"/>
    <col customWidth="1" min="10" max="10" width="22.0"/>
    <col customWidth="1" min="11" max="11" width="24.0"/>
    <col customWidth="1" min="12" max="12" width="34.0"/>
    <col customWidth="1" min="13" max="13" width="22.0"/>
    <col customWidth="1" min="14" max="14" width="28.0"/>
    <col customWidth="1" min="15" max="26" width="8.71"/>
  </cols>
  <sheetData>
    <row r="1">
      <c r="A1" s="1" t="s">
        <v>780</v>
      </c>
    </row>
    <row r="2">
      <c r="A2" s="2" t="s">
        <v>782</v>
      </c>
    </row>
    <row r="3" ht="31.5" customHeight="1">
      <c r="A3" s="12" t="s">
        <v>525</v>
      </c>
      <c r="B3" s="12" t="s">
        <v>32</v>
      </c>
      <c r="C3" s="12" t="s">
        <v>449</v>
      </c>
      <c r="D3" s="12" t="s">
        <v>53</v>
      </c>
      <c r="E3" s="12" t="s">
        <v>784</v>
      </c>
      <c r="F3" s="51" t="s">
        <v>785</v>
      </c>
      <c r="G3" s="12" t="s">
        <v>786</v>
      </c>
      <c r="H3" s="12" t="s">
        <v>788</v>
      </c>
      <c r="I3" s="12" t="s">
        <v>789</v>
      </c>
      <c r="J3" s="12" t="s">
        <v>790</v>
      </c>
      <c r="K3" s="12" t="s">
        <v>791</v>
      </c>
      <c r="L3" s="12" t="s">
        <v>672</v>
      </c>
      <c r="M3" s="12" t="s">
        <v>676</v>
      </c>
      <c r="N3" s="12" t="s">
        <v>23</v>
      </c>
    </row>
    <row r="4">
      <c r="A4" s="14" t="s">
        <v>684</v>
      </c>
      <c r="B4" s="14" t="s">
        <v>25</v>
      </c>
      <c r="C4" s="14" t="s">
        <v>458</v>
      </c>
      <c r="D4" s="14" t="s">
        <v>795</v>
      </c>
      <c r="E4" s="14" t="s">
        <v>796</v>
      </c>
      <c r="F4" s="14" t="s">
        <v>218</v>
      </c>
      <c r="G4" s="14" t="s">
        <v>218</v>
      </c>
      <c r="H4" s="14" t="s">
        <v>218</v>
      </c>
      <c r="I4" s="14" t="s">
        <v>101</v>
      </c>
      <c r="J4" s="14" t="s">
        <v>101</v>
      </c>
      <c r="K4" s="14" t="s">
        <v>101</v>
      </c>
      <c r="L4" s="14" t="s">
        <v>268</v>
      </c>
      <c r="M4" s="14" t="s">
        <v>799</v>
      </c>
      <c r="N4" s="16"/>
    </row>
    <row r="5">
      <c r="A5" s="14" t="s">
        <v>684</v>
      </c>
      <c r="B5" s="14" t="s">
        <v>25</v>
      </c>
      <c r="C5" s="14" t="s">
        <v>458</v>
      </c>
      <c r="D5" s="14" t="s">
        <v>801</v>
      </c>
      <c r="E5" s="14" t="s">
        <v>802</v>
      </c>
      <c r="F5" s="14" t="s">
        <v>218</v>
      </c>
      <c r="G5" s="14" t="s">
        <v>218</v>
      </c>
      <c r="H5" s="14" t="s">
        <v>218</v>
      </c>
      <c r="I5" s="14" t="s">
        <v>101</v>
      </c>
      <c r="J5" s="14" t="s">
        <v>101</v>
      </c>
      <c r="K5" s="14" t="s">
        <v>101</v>
      </c>
      <c r="L5" s="14" t="s">
        <v>268</v>
      </c>
      <c r="M5" s="14" t="s">
        <v>799</v>
      </c>
      <c r="N5" s="16"/>
    </row>
    <row r="6">
      <c r="A6" s="14" t="s">
        <v>684</v>
      </c>
      <c r="B6" s="14" t="s">
        <v>25</v>
      </c>
      <c r="C6" s="14" t="s">
        <v>458</v>
      </c>
      <c r="D6" s="14" t="s">
        <v>805</v>
      </c>
      <c r="E6" s="14" t="s">
        <v>806</v>
      </c>
      <c r="F6" s="14" t="s">
        <v>218</v>
      </c>
      <c r="G6" s="14" t="s">
        <v>218</v>
      </c>
      <c r="H6" s="14" t="s">
        <v>218</v>
      </c>
      <c r="I6" s="14" t="s">
        <v>101</v>
      </c>
      <c r="J6" s="14" t="s">
        <v>101</v>
      </c>
      <c r="K6" s="14" t="s">
        <v>101</v>
      </c>
      <c r="L6" s="14" t="s">
        <v>268</v>
      </c>
      <c r="M6" s="14" t="s">
        <v>799</v>
      </c>
      <c r="N6" s="16"/>
    </row>
    <row r="7">
      <c r="A7" s="14" t="s">
        <v>684</v>
      </c>
      <c r="B7" s="14" t="s">
        <v>25</v>
      </c>
      <c r="C7" s="14" t="s">
        <v>458</v>
      </c>
      <c r="D7" s="14" t="s">
        <v>808</v>
      </c>
      <c r="E7" s="14" t="s">
        <v>809</v>
      </c>
      <c r="F7" s="14" t="s">
        <v>218</v>
      </c>
      <c r="G7" s="14" t="s">
        <v>218</v>
      </c>
      <c r="H7" s="14" t="s">
        <v>218</v>
      </c>
      <c r="I7" s="14" t="s">
        <v>101</v>
      </c>
      <c r="J7" s="14" t="s">
        <v>101</v>
      </c>
      <c r="K7" s="14" t="s">
        <v>101</v>
      </c>
      <c r="L7" s="14" t="s">
        <v>268</v>
      </c>
      <c r="M7" s="14" t="s">
        <v>799</v>
      </c>
      <c r="N7" s="16"/>
    </row>
    <row r="8">
      <c r="A8" s="14" t="s">
        <v>684</v>
      </c>
      <c r="B8" s="14" t="s">
        <v>25</v>
      </c>
      <c r="C8" s="14" t="s">
        <v>458</v>
      </c>
      <c r="D8" s="14" t="s">
        <v>812</v>
      </c>
      <c r="E8" s="14" t="s">
        <v>813</v>
      </c>
      <c r="F8" s="14" t="s">
        <v>218</v>
      </c>
      <c r="G8" s="14" t="s">
        <v>218</v>
      </c>
      <c r="H8" s="14" t="s">
        <v>218</v>
      </c>
      <c r="I8" s="14" t="s">
        <v>101</v>
      </c>
      <c r="J8" s="14" t="s">
        <v>101</v>
      </c>
      <c r="K8" s="14" t="s">
        <v>101</v>
      </c>
      <c r="L8" s="14" t="s">
        <v>268</v>
      </c>
      <c r="M8" s="14" t="s">
        <v>799</v>
      </c>
      <c r="N8" s="16"/>
    </row>
    <row r="9">
      <c r="A9" s="14" t="s">
        <v>684</v>
      </c>
      <c r="B9" s="14" t="s">
        <v>25</v>
      </c>
      <c r="C9" s="14" t="s">
        <v>458</v>
      </c>
      <c r="D9" s="14" t="s">
        <v>817</v>
      </c>
      <c r="E9" s="14" t="s">
        <v>819</v>
      </c>
      <c r="F9" s="14" t="s">
        <v>218</v>
      </c>
      <c r="G9" s="14" t="s">
        <v>218</v>
      </c>
      <c r="H9" s="14" t="s">
        <v>218</v>
      </c>
      <c r="I9" s="14" t="s">
        <v>101</v>
      </c>
      <c r="J9" s="14" t="s">
        <v>101</v>
      </c>
      <c r="K9" s="14" t="s">
        <v>101</v>
      </c>
      <c r="L9" s="14" t="s">
        <v>268</v>
      </c>
      <c r="M9" s="14" t="s">
        <v>799</v>
      </c>
      <c r="N9" s="16"/>
    </row>
    <row r="10">
      <c r="A10" s="43"/>
      <c r="B10" s="43"/>
      <c r="C10" s="43"/>
      <c r="D10" s="43"/>
      <c r="E10" s="43"/>
      <c r="F10" s="43"/>
      <c r="G10" s="43"/>
      <c r="H10" s="43"/>
      <c r="I10" s="43"/>
      <c r="J10" s="43"/>
      <c r="K10" s="43"/>
      <c r="L10" s="43"/>
      <c r="M10" s="43"/>
      <c r="N10" s="43"/>
    </row>
    <row r="11">
      <c r="A11" s="14" t="s">
        <v>684</v>
      </c>
      <c r="B11" s="14" t="s">
        <v>69</v>
      </c>
      <c r="C11" s="14" t="s">
        <v>458</v>
      </c>
      <c r="D11" s="14" t="s">
        <v>795</v>
      </c>
      <c r="E11" s="14" t="s">
        <v>830</v>
      </c>
      <c r="F11" s="14" t="s">
        <v>218</v>
      </c>
      <c r="G11" s="14" t="s">
        <v>218</v>
      </c>
      <c r="H11" s="14" t="s">
        <v>218</v>
      </c>
      <c r="I11" s="14" t="s">
        <v>101</v>
      </c>
      <c r="J11" s="14" t="s">
        <v>101</v>
      </c>
      <c r="K11" s="14" t="s">
        <v>101</v>
      </c>
      <c r="L11" s="14" t="s">
        <v>268</v>
      </c>
      <c r="M11" s="14" t="s">
        <v>799</v>
      </c>
      <c r="N11" s="16"/>
    </row>
    <row r="12">
      <c r="A12" s="14" t="s">
        <v>684</v>
      </c>
      <c r="B12" s="14" t="s">
        <v>69</v>
      </c>
      <c r="C12" s="14" t="s">
        <v>458</v>
      </c>
      <c r="D12" s="14" t="s">
        <v>801</v>
      </c>
      <c r="E12" s="14" t="s">
        <v>834</v>
      </c>
      <c r="F12" s="14" t="s">
        <v>218</v>
      </c>
      <c r="G12" s="14" t="s">
        <v>218</v>
      </c>
      <c r="H12" s="14" t="s">
        <v>218</v>
      </c>
      <c r="I12" s="14" t="s">
        <v>101</v>
      </c>
      <c r="J12" s="14" t="s">
        <v>101</v>
      </c>
      <c r="K12" s="14" t="s">
        <v>101</v>
      </c>
      <c r="L12" s="14" t="s">
        <v>268</v>
      </c>
      <c r="M12" s="14" t="s">
        <v>799</v>
      </c>
      <c r="N12" s="14" t="s">
        <v>838</v>
      </c>
    </row>
    <row r="13">
      <c r="A13" s="14" t="s">
        <v>684</v>
      </c>
      <c r="B13" s="14" t="s">
        <v>69</v>
      </c>
      <c r="C13" s="14" t="s">
        <v>458</v>
      </c>
      <c r="D13" s="14" t="s">
        <v>805</v>
      </c>
      <c r="E13" s="14" t="s">
        <v>839</v>
      </c>
      <c r="F13" s="14" t="s">
        <v>218</v>
      </c>
      <c r="G13" s="14" t="s">
        <v>218</v>
      </c>
      <c r="H13" s="14" t="s">
        <v>218</v>
      </c>
      <c r="I13" s="14" t="s">
        <v>101</v>
      </c>
      <c r="J13" s="14" t="s">
        <v>101</v>
      </c>
      <c r="K13" s="14" t="s">
        <v>101</v>
      </c>
      <c r="L13" s="14" t="s">
        <v>268</v>
      </c>
      <c r="M13" s="14" t="s">
        <v>799</v>
      </c>
      <c r="N13" s="16"/>
    </row>
    <row r="14">
      <c r="A14" s="14" t="s">
        <v>684</v>
      </c>
      <c r="B14" s="14" t="s">
        <v>69</v>
      </c>
      <c r="C14" s="14" t="s">
        <v>458</v>
      </c>
      <c r="D14" s="14" t="s">
        <v>808</v>
      </c>
      <c r="E14" s="14" t="s">
        <v>842</v>
      </c>
      <c r="F14" s="14" t="s">
        <v>218</v>
      </c>
      <c r="G14" s="14" t="s">
        <v>218</v>
      </c>
      <c r="H14" s="14" t="s">
        <v>218</v>
      </c>
      <c r="I14" s="14" t="s">
        <v>101</v>
      </c>
      <c r="J14" s="14" t="s">
        <v>101</v>
      </c>
      <c r="K14" s="14" t="s">
        <v>101</v>
      </c>
      <c r="L14" s="14" t="s">
        <v>268</v>
      </c>
      <c r="M14" s="14" t="s">
        <v>799</v>
      </c>
      <c r="N14" s="16"/>
    </row>
    <row r="15">
      <c r="A15" s="14" t="s">
        <v>684</v>
      </c>
      <c r="B15" s="14" t="s">
        <v>69</v>
      </c>
      <c r="C15" s="14" t="s">
        <v>458</v>
      </c>
      <c r="D15" s="14" t="s">
        <v>812</v>
      </c>
      <c r="E15" s="14" t="s">
        <v>844</v>
      </c>
      <c r="F15" s="14" t="s">
        <v>218</v>
      </c>
      <c r="G15" s="14" t="s">
        <v>218</v>
      </c>
      <c r="H15" s="14" t="s">
        <v>218</v>
      </c>
      <c r="I15" s="14" t="s">
        <v>101</v>
      </c>
      <c r="J15" s="14" t="s">
        <v>101</v>
      </c>
      <c r="K15" s="14" t="s">
        <v>101</v>
      </c>
      <c r="L15" s="14" t="s">
        <v>268</v>
      </c>
      <c r="M15" s="14" t="s">
        <v>799</v>
      </c>
      <c r="N15" s="16"/>
    </row>
    <row r="16">
      <c r="A16" s="14" t="s">
        <v>684</v>
      </c>
      <c r="B16" s="14" t="s">
        <v>69</v>
      </c>
      <c r="C16" s="14" t="s">
        <v>458</v>
      </c>
      <c r="D16" s="14" t="s">
        <v>817</v>
      </c>
      <c r="E16" s="14" t="s">
        <v>846</v>
      </c>
      <c r="F16" s="14" t="s">
        <v>218</v>
      </c>
      <c r="G16" s="14" t="s">
        <v>218</v>
      </c>
      <c r="H16" s="14" t="s">
        <v>218</v>
      </c>
      <c r="I16" s="14" t="s">
        <v>101</v>
      </c>
      <c r="J16" s="14" t="s">
        <v>101</v>
      </c>
      <c r="K16" s="14" t="s">
        <v>101</v>
      </c>
      <c r="L16" s="14" t="s">
        <v>268</v>
      </c>
      <c r="M16" s="14" t="s">
        <v>799</v>
      </c>
      <c r="N16" s="16"/>
    </row>
    <row r="17">
      <c r="A17" s="14" t="s">
        <v>684</v>
      </c>
      <c r="B17" s="14" t="s">
        <v>69</v>
      </c>
      <c r="C17" s="14" t="s">
        <v>458</v>
      </c>
      <c r="D17" s="14" t="s">
        <v>848</v>
      </c>
      <c r="E17" s="14" t="s">
        <v>849</v>
      </c>
      <c r="F17" s="14" t="s">
        <v>218</v>
      </c>
      <c r="G17" s="14" t="s">
        <v>218</v>
      </c>
      <c r="H17" s="14" t="s">
        <v>218</v>
      </c>
      <c r="I17" s="14" t="s">
        <v>101</v>
      </c>
      <c r="J17" s="14" t="s">
        <v>101</v>
      </c>
      <c r="K17" s="14" t="s">
        <v>101</v>
      </c>
      <c r="L17" s="14" t="s">
        <v>268</v>
      </c>
      <c r="M17" s="14" t="s">
        <v>799</v>
      </c>
      <c r="N17" s="16"/>
    </row>
    <row r="18">
      <c r="A18" s="41"/>
      <c r="B18" s="43"/>
      <c r="C18" s="43"/>
      <c r="D18" s="41"/>
      <c r="E18" s="43"/>
      <c r="F18" s="41"/>
      <c r="G18" s="43"/>
      <c r="H18" s="43"/>
      <c r="I18" s="43"/>
      <c r="J18" s="43"/>
      <c r="K18" s="43"/>
      <c r="L18" s="43"/>
      <c r="M18" s="43"/>
      <c r="N18" s="43"/>
    </row>
    <row r="19">
      <c r="A19" s="14" t="s">
        <v>684</v>
      </c>
      <c r="B19" s="14" t="s">
        <v>76</v>
      </c>
      <c r="C19" s="14" t="s">
        <v>458</v>
      </c>
      <c r="D19" s="14" t="s">
        <v>795</v>
      </c>
      <c r="E19" s="14" t="s">
        <v>854</v>
      </c>
      <c r="F19" s="14" t="s">
        <v>218</v>
      </c>
      <c r="G19" s="14" t="s">
        <v>218</v>
      </c>
      <c r="H19" s="14" t="s">
        <v>218</v>
      </c>
      <c r="I19" s="14" t="s">
        <v>101</v>
      </c>
      <c r="J19" s="14" t="s">
        <v>101</v>
      </c>
      <c r="K19" s="14" t="s">
        <v>101</v>
      </c>
      <c r="L19" s="14" t="s">
        <v>268</v>
      </c>
      <c r="M19" s="14" t="s">
        <v>799</v>
      </c>
      <c r="N19" s="14" t="s">
        <v>856</v>
      </c>
    </row>
    <row r="20">
      <c r="A20" s="14" t="s">
        <v>684</v>
      </c>
      <c r="B20" s="14" t="s">
        <v>76</v>
      </c>
      <c r="C20" s="14" t="s">
        <v>458</v>
      </c>
      <c r="D20" s="14" t="s">
        <v>801</v>
      </c>
      <c r="E20" s="14" t="s">
        <v>857</v>
      </c>
      <c r="F20" s="14" t="s">
        <v>218</v>
      </c>
      <c r="G20" s="14" t="s">
        <v>218</v>
      </c>
      <c r="H20" s="14" t="s">
        <v>218</v>
      </c>
      <c r="I20" s="14" t="s">
        <v>101</v>
      </c>
      <c r="J20" s="14" t="s">
        <v>101</v>
      </c>
      <c r="K20" s="14" t="s">
        <v>101</v>
      </c>
      <c r="L20" s="14" t="s">
        <v>268</v>
      </c>
      <c r="M20" s="14" t="s">
        <v>799</v>
      </c>
      <c r="N20" s="14" t="s">
        <v>858</v>
      </c>
    </row>
    <row r="21">
      <c r="A21" s="14" t="s">
        <v>684</v>
      </c>
      <c r="B21" s="14" t="s">
        <v>76</v>
      </c>
      <c r="C21" s="14" t="s">
        <v>458</v>
      </c>
      <c r="D21" s="14" t="s">
        <v>805</v>
      </c>
      <c r="E21" s="14" t="s">
        <v>861</v>
      </c>
      <c r="F21" s="14" t="s">
        <v>218</v>
      </c>
      <c r="G21" s="14" t="s">
        <v>218</v>
      </c>
      <c r="H21" s="14" t="s">
        <v>218</v>
      </c>
      <c r="I21" s="14" t="s">
        <v>101</v>
      </c>
      <c r="J21" s="14" t="s">
        <v>101</v>
      </c>
      <c r="K21" s="14" t="s">
        <v>101</v>
      </c>
      <c r="L21" s="14" t="s">
        <v>268</v>
      </c>
      <c r="M21" s="14" t="s">
        <v>799</v>
      </c>
      <c r="N21" s="14" t="s">
        <v>864</v>
      </c>
    </row>
    <row r="22">
      <c r="A22" s="14" t="s">
        <v>684</v>
      </c>
      <c r="B22" s="14" t="s">
        <v>76</v>
      </c>
      <c r="C22" s="14" t="s">
        <v>458</v>
      </c>
      <c r="D22" s="14" t="s">
        <v>808</v>
      </c>
      <c r="E22" s="14" t="s">
        <v>867</v>
      </c>
      <c r="F22" s="14" t="s">
        <v>218</v>
      </c>
      <c r="G22" s="14" t="s">
        <v>218</v>
      </c>
      <c r="H22" s="14" t="s">
        <v>218</v>
      </c>
      <c r="I22" s="14" t="s">
        <v>101</v>
      </c>
      <c r="J22" s="14" t="s">
        <v>101</v>
      </c>
      <c r="K22" s="14" t="s">
        <v>101</v>
      </c>
      <c r="L22" s="14" t="s">
        <v>268</v>
      </c>
      <c r="M22" s="14" t="s">
        <v>799</v>
      </c>
      <c r="N22" s="14" t="s">
        <v>870</v>
      </c>
    </row>
    <row r="23">
      <c r="A23" s="14" t="s">
        <v>684</v>
      </c>
      <c r="B23" s="14" t="s">
        <v>76</v>
      </c>
      <c r="C23" s="14" t="s">
        <v>458</v>
      </c>
      <c r="D23" s="14" t="s">
        <v>812</v>
      </c>
      <c r="E23" s="14" t="s">
        <v>872</v>
      </c>
      <c r="F23" s="14" t="s">
        <v>218</v>
      </c>
      <c r="G23" s="14" t="s">
        <v>218</v>
      </c>
      <c r="H23" s="14" t="s">
        <v>218</v>
      </c>
      <c r="I23" s="14" t="s">
        <v>101</v>
      </c>
      <c r="J23" s="14" t="s">
        <v>218</v>
      </c>
      <c r="K23" s="14" t="s">
        <v>101</v>
      </c>
      <c r="L23" s="14" t="s">
        <v>268</v>
      </c>
      <c r="M23" s="14" t="s">
        <v>875</v>
      </c>
      <c r="N23" s="14" t="s">
        <v>876</v>
      </c>
    </row>
    <row r="24">
      <c r="A24" s="14" t="s">
        <v>684</v>
      </c>
      <c r="B24" s="14" t="s">
        <v>76</v>
      </c>
      <c r="C24" s="14" t="s">
        <v>458</v>
      </c>
      <c r="D24" s="14" t="s">
        <v>817</v>
      </c>
      <c r="E24" s="14" t="s">
        <v>879</v>
      </c>
      <c r="F24" s="14" t="s">
        <v>218</v>
      </c>
      <c r="G24" s="14" t="s">
        <v>218</v>
      </c>
      <c r="H24" s="14" t="s">
        <v>218</v>
      </c>
      <c r="I24" s="14" t="s">
        <v>101</v>
      </c>
      <c r="J24" s="14" t="s">
        <v>101</v>
      </c>
      <c r="K24" s="14" t="s">
        <v>101</v>
      </c>
      <c r="L24" s="14" t="s">
        <v>268</v>
      </c>
      <c r="M24" s="14" t="s">
        <v>799</v>
      </c>
      <c r="N24" s="14" t="s">
        <v>881</v>
      </c>
    </row>
    <row r="25">
      <c r="A25" s="14" t="s">
        <v>684</v>
      </c>
      <c r="B25" s="14" t="s">
        <v>76</v>
      </c>
      <c r="C25" s="14" t="s">
        <v>458</v>
      </c>
      <c r="D25" s="14" t="s">
        <v>848</v>
      </c>
      <c r="E25" s="14" t="s">
        <v>882</v>
      </c>
      <c r="F25" s="14" t="s">
        <v>218</v>
      </c>
      <c r="G25" s="14" t="s">
        <v>218</v>
      </c>
      <c r="H25" s="14" t="s">
        <v>218</v>
      </c>
      <c r="I25" s="14" t="s">
        <v>101</v>
      </c>
      <c r="J25" s="14" t="s">
        <v>101</v>
      </c>
      <c r="K25" s="14" t="s">
        <v>101</v>
      </c>
      <c r="L25" s="14" t="s">
        <v>268</v>
      </c>
      <c r="M25" s="14" t="s">
        <v>799</v>
      </c>
      <c r="N25" s="14" t="s">
        <v>884</v>
      </c>
    </row>
    <row r="26">
      <c r="A26" s="14" t="s">
        <v>684</v>
      </c>
      <c r="B26" s="14" t="s">
        <v>76</v>
      </c>
      <c r="C26" s="14" t="s">
        <v>458</v>
      </c>
      <c r="D26" s="14" t="s">
        <v>886</v>
      </c>
      <c r="E26" s="14" t="s">
        <v>887</v>
      </c>
      <c r="F26" s="14" t="s">
        <v>218</v>
      </c>
      <c r="G26" s="14" t="s">
        <v>218</v>
      </c>
      <c r="H26" s="14" t="s">
        <v>218</v>
      </c>
      <c r="I26" s="14" t="s">
        <v>101</v>
      </c>
      <c r="J26" s="14" t="s">
        <v>101</v>
      </c>
      <c r="K26" s="14" t="s">
        <v>101</v>
      </c>
      <c r="L26" s="14" t="s">
        <v>268</v>
      </c>
      <c r="M26" s="14" t="s">
        <v>799</v>
      </c>
      <c r="N26" s="14" t="s">
        <v>889</v>
      </c>
    </row>
    <row r="27">
      <c r="A27" s="14" t="s">
        <v>684</v>
      </c>
      <c r="B27" s="14" t="s">
        <v>76</v>
      </c>
      <c r="C27" s="14" t="s">
        <v>458</v>
      </c>
      <c r="D27" s="14" t="s">
        <v>891</v>
      </c>
      <c r="E27" s="14" t="s">
        <v>892</v>
      </c>
      <c r="F27" s="14" t="s">
        <v>218</v>
      </c>
      <c r="G27" s="14" t="s">
        <v>218</v>
      </c>
      <c r="H27" s="14" t="s">
        <v>218</v>
      </c>
      <c r="I27" s="14" t="s">
        <v>101</v>
      </c>
      <c r="J27" s="14" t="s">
        <v>101</v>
      </c>
      <c r="K27" s="14" t="s">
        <v>101</v>
      </c>
      <c r="L27" s="14" t="s">
        <v>268</v>
      </c>
      <c r="M27" s="14" t="s">
        <v>799</v>
      </c>
      <c r="N27" s="14" t="s">
        <v>894</v>
      </c>
    </row>
    <row r="28" ht="15.75" customHeight="1">
      <c r="A28" s="14" t="s">
        <v>684</v>
      </c>
      <c r="B28" s="14" t="s">
        <v>76</v>
      </c>
      <c r="C28" s="14" t="s">
        <v>458</v>
      </c>
      <c r="D28" s="14" t="s">
        <v>895</v>
      </c>
      <c r="E28" s="14" t="s">
        <v>896</v>
      </c>
      <c r="F28" s="14" t="s">
        <v>218</v>
      </c>
      <c r="G28" s="14" t="s">
        <v>218</v>
      </c>
      <c r="H28" s="14" t="s">
        <v>218</v>
      </c>
      <c r="I28" s="14" t="s">
        <v>101</v>
      </c>
      <c r="J28" s="14" t="s">
        <v>101</v>
      </c>
      <c r="K28" s="14" t="s">
        <v>101</v>
      </c>
      <c r="L28" s="14" t="s">
        <v>268</v>
      </c>
      <c r="M28" s="14" t="s">
        <v>799</v>
      </c>
      <c r="N28" s="14" t="s">
        <v>900</v>
      </c>
    </row>
    <row r="29" ht="15.75" customHeight="1">
      <c r="A29" s="43"/>
      <c r="B29" s="43"/>
      <c r="C29" s="43"/>
      <c r="D29" s="43"/>
      <c r="E29" s="43"/>
      <c r="F29" s="43"/>
      <c r="G29" s="43"/>
      <c r="H29" s="43"/>
      <c r="I29" s="43"/>
      <c r="J29" s="43"/>
      <c r="K29" s="43"/>
      <c r="L29" s="43"/>
      <c r="M29" s="43"/>
      <c r="N29" s="43"/>
    </row>
    <row r="30" ht="15.75" customHeight="1">
      <c r="A30" s="14" t="s">
        <v>684</v>
      </c>
      <c r="B30" s="14" t="s">
        <v>25</v>
      </c>
      <c r="C30" s="14" t="s">
        <v>462</v>
      </c>
      <c r="D30" s="14" t="s">
        <v>795</v>
      </c>
      <c r="E30" s="14" t="s">
        <v>911</v>
      </c>
      <c r="F30" s="14" t="s">
        <v>218</v>
      </c>
      <c r="G30" s="14" t="s">
        <v>218</v>
      </c>
      <c r="H30" s="14" t="s">
        <v>218</v>
      </c>
      <c r="I30" s="14" t="s">
        <v>101</v>
      </c>
      <c r="J30" s="14" t="s">
        <v>101</v>
      </c>
      <c r="K30" s="14" t="s">
        <v>101</v>
      </c>
      <c r="L30" s="14" t="s">
        <v>268</v>
      </c>
      <c r="M30" s="14" t="s">
        <v>799</v>
      </c>
      <c r="N30" s="14" t="s">
        <v>915</v>
      </c>
    </row>
    <row r="31" ht="15.75" customHeight="1">
      <c r="A31" s="14" t="s">
        <v>684</v>
      </c>
      <c r="B31" s="14" t="s">
        <v>25</v>
      </c>
      <c r="C31" s="14" t="s">
        <v>462</v>
      </c>
      <c r="D31" s="14" t="s">
        <v>801</v>
      </c>
      <c r="E31" s="14" t="s">
        <v>917</v>
      </c>
      <c r="F31" s="14" t="s">
        <v>218</v>
      </c>
      <c r="G31" s="14" t="s">
        <v>218</v>
      </c>
      <c r="H31" s="14" t="s">
        <v>218</v>
      </c>
      <c r="I31" s="14" t="s">
        <v>101</v>
      </c>
      <c r="J31" s="14" t="s">
        <v>101</v>
      </c>
      <c r="K31" s="14" t="s">
        <v>101</v>
      </c>
      <c r="L31" s="14" t="s">
        <v>268</v>
      </c>
      <c r="M31" s="14" t="s">
        <v>799</v>
      </c>
      <c r="N31" s="14" t="s">
        <v>915</v>
      </c>
    </row>
    <row r="32" ht="15.75" customHeight="1">
      <c r="A32" s="14" t="s">
        <v>684</v>
      </c>
      <c r="B32" s="14" t="s">
        <v>25</v>
      </c>
      <c r="C32" s="14" t="s">
        <v>462</v>
      </c>
      <c r="D32" s="14" t="s">
        <v>805</v>
      </c>
      <c r="E32" s="14" t="s">
        <v>806</v>
      </c>
      <c r="F32" s="14" t="s">
        <v>218</v>
      </c>
      <c r="G32" s="14" t="s">
        <v>218</v>
      </c>
      <c r="H32" s="14" t="s">
        <v>218</v>
      </c>
      <c r="I32" s="14" t="s">
        <v>101</v>
      </c>
      <c r="J32" s="14" t="s">
        <v>101</v>
      </c>
      <c r="K32" s="14" t="s">
        <v>101</v>
      </c>
      <c r="L32" s="14" t="s">
        <v>268</v>
      </c>
      <c r="M32" s="14" t="s">
        <v>799</v>
      </c>
      <c r="N32" s="14" t="s">
        <v>915</v>
      </c>
    </row>
    <row r="33" ht="15.75" customHeight="1">
      <c r="A33" s="14" t="s">
        <v>684</v>
      </c>
      <c r="B33" s="14" t="s">
        <v>25</v>
      </c>
      <c r="C33" s="14" t="s">
        <v>462</v>
      </c>
      <c r="D33" s="14" t="s">
        <v>808</v>
      </c>
      <c r="E33" s="14" t="s">
        <v>924</v>
      </c>
      <c r="F33" s="14" t="s">
        <v>218</v>
      </c>
      <c r="G33" s="14" t="s">
        <v>218</v>
      </c>
      <c r="H33" s="14" t="s">
        <v>218</v>
      </c>
      <c r="I33" s="14" t="s">
        <v>101</v>
      </c>
      <c r="J33" s="14" t="s">
        <v>101</v>
      </c>
      <c r="K33" s="14" t="s">
        <v>101</v>
      </c>
      <c r="L33" s="14" t="s">
        <v>268</v>
      </c>
      <c r="M33" s="14" t="s">
        <v>799</v>
      </c>
      <c r="N33" s="14" t="s">
        <v>915</v>
      </c>
    </row>
    <row r="34" ht="15.75" customHeight="1">
      <c r="A34" s="14" t="s">
        <v>684</v>
      </c>
      <c r="B34" s="14" t="s">
        <v>25</v>
      </c>
      <c r="C34" s="14" t="s">
        <v>462</v>
      </c>
      <c r="D34" s="14" t="s">
        <v>812</v>
      </c>
      <c r="E34" s="14" t="s">
        <v>928</v>
      </c>
      <c r="F34" s="14" t="s">
        <v>218</v>
      </c>
      <c r="G34" s="14" t="s">
        <v>218</v>
      </c>
      <c r="H34" s="14" t="s">
        <v>218</v>
      </c>
      <c r="I34" s="14" t="s">
        <v>101</v>
      </c>
      <c r="J34" s="14" t="s">
        <v>101</v>
      </c>
      <c r="K34" s="14" t="s">
        <v>101</v>
      </c>
      <c r="L34" s="14" t="s">
        <v>268</v>
      </c>
      <c r="M34" s="14" t="s">
        <v>799</v>
      </c>
      <c r="N34" s="14" t="s">
        <v>915</v>
      </c>
    </row>
    <row r="35" ht="15.75" customHeight="1">
      <c r="A35" s="14" t="s">
        <v>684</v>
      </c>
      <c r="B35" s="14" t="s">
        <v>25</v>
      </c>
      <c r="C35" s="14" t="s">
        <v>462</v>
      </c>
      <c r="D35" s="14" t="s">
        <v>817</v>
      </c>
      <c r="E35" s="14" t="s">
        <v>819</v>
      </c>
      <c r="F35" s="14" t="s">
        <v>218</v>
      </c>
      <c r="G35" s="14" t="s">
        <v>218</v>
      </c>
      <c r="H35" s="14" t="s">
        <v>218</v>
      </c>
      <c r="I35" s="14" t="s">
        <v>101</v>
      </c>
      <c r="J35" s="14" t="s">
        <v>101</v>
      </c>
      <c r="K35" s="14" t="s">
        <v>101</v>
      </c>
      <c r="L35" s="14" t="s">
        <v>268</v>
      </c>
      <c r="M35" s="14" t="s">
        <v>799</v>
      </c>
      <c r="N35" s="14" t="s">
        <v>915</v>
      </c>
    </row>
    <row r="36" ht="15.75" customHeight="1">
      <c r="A36" s="43"/>
      <c r="B36" s="43"/>
      <c r="C36" s="43"/>
      <c r="D36" s="43"/>
      <c r="E36" s="43"/>
      <c r="F36" s="43"/>
      <c r="G36" s="43"/>
      <c r="H36" s="43"/>
      <c r="I36" s="43"/>
      <c r="J36" s="43"/>
      <c r="K36" s="43"/>
      <c r="L36" s="43"/>
      <c r="M36" s="43"/>
      <c r="N36" s="43"/>
    </row>
    <row r="37" ht="15.75" customHeight="1">
      <c r="A37" s="14" t="s">
        <v>684</v>
      </c>
      <c r="B37" s="14" t="s">
        <v>69</v>
      </c>
      <c r="C37" s="14" t="s">
        <v>462</v>
      </c>
      <c r="D37" s="14" t="s">
        <v>795</v>
      </c>
      <c r="E37" s="14" t="s">
        <v>830</v>
      </c>
      <c r="F37" s="14" t="s">
        <v>218</v>
      </c>
      <c r="G37" s="14" t="s">
        <v>218</v>
      </c>
      <c r="H37" s="14" t="s">
        <v>218</v>
      </c>
      <c r="I37" s="14" t="s">
        <v>101</v>
      </c>
      <c r="J37" s="14" t="s">
        <v>101</v>
      </c>
      <c r="K37" s="14" t="s">
        <v>101</v>
      </c>
      <c r="L37" s="14" t="s">
        <v>268</v>
      </c>
      <c r="M37" s="14" t="s">
        <v>799</v>
      </c>
      <c r="N37" s="14" t="s">
        <v>915</v>
      </c>
    </row>
    <row r="38" ht="15.75" customHeight="1">
      <c r="A38" s="14" t="s">
        <v>684</v>
      </c>
      <c r="B38" s="14" t="s">
        <v>69</v>
      </c>
      <c r="C38" s="14" t="s">
        <v>462</v>
      </c>
      <c r="D38" s="14" t="s">
        <v>801</v>
      </c>
      <c r="E38" s="14" t="s">
        <v>940</v>
      </c>
      <c r="F38" s="14" t="s">
        <v>218</v>
      </c>
      <c r="G38" s="14" t="s">
        <v>218</v>
      </c>
      <c r="H38" s="14" t="s">
        <v>218</v>
      </c>
      <c r="I38" s="14" t="s">
        <v>101</v>
      </c>
      <c r="J38" s="14" t="s">
        <v>101</v>
      </c>
      <c r="K38" s="14" t="s">
        <v>101</v>
      </c>
      <c r="L38" s="14" t="s">
        <v>268</v>
      </c>
      <c r="M38" s="14" t="s">
        <v>799</v>
      </c>
      <c r="N38" s="14" t="s">
        <v>915</v>
      </c>
    </row>
    <row r="39" ht="15.75" customHeight="1">
      <c r="A39" s="14" t="s">
        <v>684</v>
      </c>
      <c r="B39" s="14" t="s">
        <v>69</v>
      </c>
      <c r="C39" s="14" t="s">
        <v>462</v>
      </c>
      <c r="D39" s="14" t="s">
        <v>805</v>
      </c>
      <c r="E39" s="14" t="s">
        <v>942</v>
      </c>
      <c r="F39" s="14" t="s">
        <v>218</v>
      </c>
      <c r="G39" s="14" t="s">
        <v>218</v>
      </c>
      <c r="H39" s="14" t="s">
        <v>218</v>
      </c>
      <c r="I39" s="14" t="s">
        <v>101</v>
      </c>
      <c r="J39" s="14" t="s">
        <v>101</v>
      </c>
      <c r="K39" s="14" t="s">
        <v>101</v>
      </c>
      <c r="L39" s="14" t="s">
        <v>268</v>
      </c>
      <c r="M39" s="14" t="s">
        <v>799</v>
      </c>
      <c r="N39" s="14" t="s">
        <v>915</v>
      </c>
    </row>
    <row r="40" ht="15.75" customHeight="1">
      <c r="A40" s="14" t="s">
        <v>684</v>
      </c>
      <c r="B40" s="14" t="s">
        <v>69</v>
      </c>
      <c r="C40" s="14" t="s">
        <v>462</v>
      </c>
      <c r="D40" s="14" t="s">
        <v>808</v>
      </c>
      <c r="E40" s="14" t="s">
        <v>842</v>
      </c>
      <c r="F40" s="14" t="s">
        <v>218</v>
      </c>
      <c r="G40" s="14" t="s">
        <v>218</v>
      </c>
      <c r="H40" s="14" t="s">
        <v>218</v>
      </c>
      <c r="I40" s="14" t="s">
        <v>101</v>
      </c>
      <c r="J40" s="14" t="s">
        <v>101</v>
      </c>
      <c r="K40" s="14" t="s">
        <v>101</v>
      </c>
      <c r="L40" s="14" t="s">
        <v>268</v>
      </c>
      <c r="M40" s="14" t="s">
        <v>799</v>
      </c>
      <c r="N40" s="14" t="s">
        <v>915</v>
      </c>
    </row>
    <row r="41" ht="15.75" customHeight="1">
      <c r="A41" s="14" t="s">
        <v>684</v>
      </c>
      <c r="B41" s="14" t="s">
        <v>69</v>
      </c>
      <c r="C41" s="14" t="s">
        <v>462</v>
      </c>
      <c r="D41" s="14" t="s">
        <v>812</v>
      </c>
      <c r="E41" s="14" t="s">
        <v>844</v>
      </c>
      <c r="F41" s="14" t="s">
        <v>218</v>
      </c>
      <c r="G41" s="14" t="s">
        <v>218</v>
      </c>
      <c r="H41" s="14" t="s">
        <v>218</v>
      </c>
      <c r="I41" s="14" t="s">
        <v>101</v>
      </c>
      <c r="J41" s="14" t="s">
        <v>101</v>
      </c>
      <c r="K41" s="14" t="s">
        <v>101</v>
      </c>
      <c r="L41" s="14" t="s">
        <v>268</v>
      </c>
      <c r="M41" s="14" t="s">
        <v>799</v>
      </c>
      <c r="N41" s="14" t="s">
        <v>915</v>
      </c>
    </row>
    <row r="42" ht="15.75" customHeight="1">
      <c r="A42" s="14" t="s">
        <v>684</v>
      </c>
      <c r="B42" s="14" t="s">
        <v>69</v>
      </c>
      <c r="C42" s="14" t="s">
        <v>462</v>
      </c>
      <c r="D42" s="14" t="s">
        <v>817</v>
      </c>
      <c r="E42" s="14" t="s">
        <v>948</v>
      </c>
      <c r="F42" s="14" t="s">
        <v>218</v>
      </c>
      <c r="G42" s="14" t="s">
        <v>218</v>
      </c>
      <c r="H42" s="14" t="s">
        <v>218</v>
      </c>
      <c r="I42" s="14" t="s">
        <v>101</v>
      </c>
      <c r="J42" s="14" t="s">
        <v>101</v>
      </c>
      <c r="K42" s="14" t="s">
        <v>101</v>
      </c>
      <c r="L42" s="14" t="s">
        <v>268</v>
      </c>
      <c r="M42" s="14" t="s">
        <v>799</v>
      </c>
      <c r="N42" s="14" t="s">
        <v>915</v>
      </c>
    </row>
    <row r="43" ht="15.75" customHeight="1">
      <c r="A43" s="14" t="s">
        <v>684</v>
      </c>
      <c r="B43" s="14" t="s">
        <v>69</v>
      </c>
      <c r="C43" s="14" t="s">
        <v>462</v>
      </c>
      <c r="D43" s="14" t="s">
        <v>848</v>
      </c>
      <c r="E43" s="14" t="s">
        <v>950</v>
      </c>
      <c r="F43" s="14" t="s">
        <v>218</v>
      </c>
      <c r="G43" s="14" t="s">
        <v>218</v>
      </c>
      <c r="H43" s="14" t="s">
        <v>218</v>
      </c>
      <c r="I43" s="14" t="s">
        <v>101</v>
      </c>
      <c r="J43" s="14" t="s">
        <v>101</v>
      </c>
      <c r="K43" s="14" t="s">
        <v>101</v>
      </c>
      <c r="L43" s="14" t="s">
        <v>268</v>
      </c>
      <c r="M43" s="14" t="s">
        <v>799</v>
      </c>
      <c r="N43" s="14" t="s">
        <v>915</v>
      </c>
    </row>
    <row r="44" ht="15.75" customHeight="1">
      <c r="A44" s="43"/>
      <c r="B44" s="43"/>
      <c r="C44" s="43"/>
      <c r="D44" s="43"/>
      <c r="E44" s="43"/>
      <c r="F44" s="43"/>
      <c r="G44" s="43"/>
      <c r="H44" s="43"/>
      <c r="I44" s="43"/>
      <c r="J44" s="43"/>
      <c r="K44" s="43"/>
      <c r="L44" s="43"/>
      <c r="M44" s="43"/>
      <c r="N44" s="43"/>
    </row>
    <row r="45" ht="15.75" customHeight="1">
      <c r="A45" s="14" t="s">
        <v>684</v>
      </c>
      <c r="B45" s="14" t="s">
        <v>76</v>
      </c>
      <c r="C45" s="14" t="s">
        <v>462</v>
      </c>
      <c r="D45" s="14" t="s">
        <v>795</v>
      </c>
      <c r="E45" s="14" t="s">
        <v>957</v>
      </c>
      <c r="F45" s="14" t="s">
        <v>218</v>
      </c>
      <c r="G45" s="14" t="s">
        <v>218</v>
      </c>
      <c r="H45" s="14" t="s">
        <v>218</v>
      </c>
      <c r="I45" s="14" t="s">
        <v>101</v>
      </c>
      <c r="J45" s="14" t="s">
        <v>101</v>
      </c>
      <c r="K45" s="14" t="s">
        <v>101</v>
      </c>
      <c r="L45" s="14" t="s">
        <v>268</v>
      </c>
      <c r="M45" s="14" t="s">
        <v>799</v>
      </c>
      <c r="N45" s="14" t="s">
        <v>959</v>
      </c>
    </row>
    <row r="46" ht="15.75" customHeight="1">
      <c r="A46" s="14" t="s">
        <v>684</v>
      </c>
      <c r="B46" s="14" t="s">
        <v>76</v>
      </c>
      <c r="C46" s="14" t="s">
        <v>462</v>
      </c>
      <c r="D46" s="14" t="s">
        <v>801</v>
      </c>
      <c r="E46" s="14" t="s">
        <v>960</v>
      </c>
      <c r="F46" s="14" t="s">
        <v>218</v>
      </c>
      <c r="G46" s="14" t="s">
        <v>218</v>
      </c>
      <c r="H46" s="14" t="s">
        <v>218</v>
      </c>
      <c r="I46" s="14" t="s">
        <v>101</v>
      </c>
      <c r="J46" s="14" t="s">
        <v>101</v>
      </c>
      <c r="K46" s="14" t="s">
        <v>101</v>
      </c>
      <c r="L46" s="14" t="s">
        <v>268</v>
      </c>
      <c r="M46" s="14" t="s">
        <v>799</v>
      </c>
      <c r="N46" s="14" t="s">
        <v>961</v>
      </c>
    </row>
    <row r="47" ht="15.75" customHeight="1">
      <c r="A47" s="14" t="s">
        <v>684</v>
      </c>
      <c r="B47" s="14" t="s">
        <v>76</v>
      </c>
      <c r="C47" s="14" t="s">
        <v>462</v>
      </c>
      <c r="D47" s="14" t="s">
        <v>805</v>
      </c>
      <c r="E47" s="14" t="s">
        <v>963</v>
      </c>
      <c r="F47" s="14" t="s">
        <v>218</v>
      </c>
      <c r="G47" s="14" t="s">
        <v>218</v>
      </c>
      <c r="H47" s="14" t="s">
        <v>218</v>
      </c>
      <c r="I47" s="14" t="s">
        <v>101</v>
      </c>
      <c r="J47" s="14" t="s">
        <v>101</v>
      </c>
      <c r="K47" s="14" t="s">
        <v>101</v>
      </c>
      <c r="L47" s="14" t="s">
        <v>268</v>
      </c>
      <c r="M47" s="14" t="s">
        <v>799</v>
      </c>
      <c r="N47" s="14" t="s">
        <v>964</v>
      </c>
    </row>
    <row r="48" ht="15.75" customHeight="1">
      <c r="A48" s="14" t="s">
        <v>684</v>
      </c>
      <c r="B48" s="14" t="s">
        <v>76</v>
      </c>
      <c r="C48" s="14" t="s">
        <v>462</v>
      </c>
      <c r="D48" s="14" t="s">
        <v>808</v>
      </c>
      <c r="E48" s="14" t="s">
        <v>966</v>
      </c>
      <c r="F48" s="14" t="s">
        <v>218</v>
      </c>
      <c r="G48" s="14" t="s">
        <v>218</v>
      </c>
      <c r="H48" s="14" t="s">
        <v>218</v>
      </c>
      <c r="I48" s="14" t="s">
        <v>101</v>
      </c>
      <c r="J48" s="14" t="s">
        <v>101</v>
      </c>
      <c r="K48" s="14" t="s">
        <v>101</v>
      </c>
      <c r="L48" s="14" t="s">
        <v>268</v>
      </c>
      <c r="M48" s="14" t="s">
        <v>799</v>
      </c>
      <c r="N48" s="14" t="s">
        <v>967</v>
      </c>
    </row>
    <row r="49" ht="15.75" customHeight="1">
      <c r="A49" s="14" t="s">
        <v>684</v>
      </c>
      <c r="B49" s="14" t="s">
        <v>76</v>
      </c>
      <c r="C49" s="14" t="s">
        <v>462</v>
      </c>
      <c r="D49" s="14" t="s">
        <v>812</v>
      </c>
      <c r="E49" s="14" t="s">
        <v>970</v>
      </c>
      <c r="F49" s="14" t="s">
        <v>218</v>
      </c>
      <c r="G49" s="14" t="s">
        <v>218</v>
      </c>
      <c r="H49" s="14" t="s">
        <v>218</v>
      </c>
      <c r="I49" s="14" t="s">
        <v>101</v>
      </c>
      <c r="J49" s="14" t="s">
        <v>218</v>
      </c>
      <c r="K49" s="14" t="s">
        <v>101</v>
      </c>
      <c r="L49" s="14" t="s">
        <v>268</v>
      </c>
      <c r="M49" s="14" t="s">
        <v>875</v>
      </c>
      <c r="N49" s="14" t="s">
        <v>971</v>
      </c>
    </row>
    <row r="50" ht="15.75" customHeight="1">
      <c r="A50" s="14" t="s">
        <v>684</v>
      </c>
      <c r="B50" s="14" t="s">
        <v>76</v>
      </c>
      <c r="C50" s="14" t="s">
        <v>462</v>
      </c>
      <c r="D50" s="14" t="s">
        <v>817</v>
      </c>
      <c r="E50" s="14" t="s">
        <v>973</v>
      </c>
      <c r="F50" s="14" t="s">
        <v>218</v>
      </c>
      <c r="G50" s="14" t="s">
        <v>218</v>
      </c>
      <c r="H50" s="14" t="s">
        <v>218</v>
      </c>
      <c r="I50" s="14" t="s">
        <v>101</v>
      </c>
      <c r="J50" s="14" t="s">
        <v>101</v>
      </c>
      <c r="K50" s="14" t="s">
        <v>101</v>
      </c>
      <c r="L50" s="14" t="s">
        <v>268</v>
      </c>
      <c r="M50" s="14" t="s">
        <v>799</v>
      </c>
      <c r="N50" s="14" t="s">
        <v>976</v>
      </c>
    </row>
    <row r="51" ht="15.75" customHeight="1">
      <c r="A51" s="14" t="s">
        <v>684</v>
      </c>
      <c r="B51" s="14" t="s">
        <v>76</v>
      </c>
      <c r="C51" s="14" t="s">
        <v>462</v>
      </c>
      <c r="D51" s="14" t="s">
        <v>848</v>
      </c>
      <c r="E51" s="14" t="s">
        <v>882</v>
      </c>
      <c r="F51" s="14" t="s">
        <v>218</v>
      </c>
      <c r="G51" s="14" t="s">
        <v>218</v>
      </c>
      <c r="H51" s="14" t="s">
        <v>218</v>
      </c>
      <c r="I51" s="14" t="s">
        <v>101</v>
      </c>
      <c r="J51" s="14" t="s">
        <v>101</v>
      </c>
      <c r="K51" s="14" t="s">
        <v>101</v>
      </c>
      <c r="L51" s="14" t="s">
        <v>268</v>
      </c>
      <c r="M51" s="14" t="s">
        <v>799</v>
      </c>
      <c r="N51" s="14" t="s">
        <v>980</v>
      </c>
    </row>
    <row r="52" ht="15.75" customHeight="1">
      <c r="A52" s="14" t="s">
        <v>684</v>
      </c>
      <c r="B52" s="14" t="s">
        <v>76</v>
      </c>
      <c r="C52" s="14" t="s">
        <v>462</v>
      </c>
      <c r="D52" s="14" t="s">
        <v>886</v>
      </c>
      <c r="E52" s="14" t="s">
        <v>981</v>
      </c>
      <c r="F52" s="14" t="s">
        <v>218</v>
      </c>
      <c r="G52" s="14" t="s">
        <v>218</v>
      </c>
      <c r="H52" s="14" t="s">
        <v>218</v>
      </c>
      <c r="I52" s="14" t="s">
        <v>101</v>
      </c>
      <c r="J52" s="14" t="s">
        <v>101</v>
      </c>
      <c r="K52" s="14" t="s">
        <v>101</v>
      </c>
      <c r="L52" s="14" t="s">
        <v>268</v>
      </c>
      <c r="M52" s="14" t="s">
        <v>799</v>
      </c>
      <c r="N52" s="14" t="s">
        <v>983</v>
      </c>
    </row>
    <row r="53" ht="15.75" customHeight="1">
      <c r="A53" s="14" t="s">
        <v>684</v>
      </c>
      <c r="B53" s="14" t="s">
        <v>76</v>
      </c>
      <c r="C53" s="14" t="s">
        <v>462</v>
      </c>
      <c r="D53" s="14" t="s">
        <v>891</v>
      </c>
      <c r="E53" s="14" t="s">
        <v>984</v>
      </c>
      <c r="F53" s="14" t="s">
        <v>218</v>
      </c>
      <c r="G53" s="14" t="s">
        <v>218</v>
      </c>
      <c r="H53" s="14" t="s">
        <v>218</v>
      </c>
      <c r="I53" s="14" t="s">
        <v>101</v>
      </c>
      <c r="J53" s="14" t="s">
        <v>101</v>
      </c>
      <c r="K53" s="14" t="s">
        <v>101</v>
      </c>
      <c r="L53" s="14" t="s">
        <v>268</v>
      </c>
      <c r="M53" s="14" t="s">
        <v>799</v>
      </c>
      <c r="N53" s="14" t="s">
        <v>985</v>
      </c>
    </row>
    <row r="54" ht="15.75" customHeight="1">
      <c r="A54" s="14" t="s">
        <v>684</v>
      </c>
      <c r="B54" s="14" t="s">
        <v>76</v>
      </c>
      <c r="C54" s="14" t="s">
        <v>462</v>
      </c>
      <c r="D54" s="14" t="s">
        <v>895</v>
      </c>
      <c r="E54" s="14" t="s">
        <v>896</v>
      </c>
      <c r="F54" s="14" t="s">
        <v>218</v>
      </c>
      <c r="G54" s="14" t="s">
        <v>218</v>
      </c>
      <c r="H54" s="14" t="s">
        <v>218</v>
      </c>
      <c r="I54" s="14" t="s">
        <v>101</v>
      </c>
      <c r="J54" s="14" t="s">
        <v>101</v>
      </c>
      <c r="K54" s="14" t="s">
        <v>101</v>
      </c>
      <c r="L54" s="14" t="s">
        <v>268</v>
      </c>
      <c r="M54" s="14" t="s">
        <v>799</v>
      </c>
      <c r="N54" s="14" t="s">
        <v>986</v>
      </c>
    </row>
    <row r="55" ht="15.75" customHeight="1">
      <c r="A55" s="43"/>
      <c r="B55" s="43"/>
      <c r="C55" s="43"/>
      <c r="D55" s="43"/>
      <c r="E55" s="43"/>
      <c r="F55" s="43"/>
      <c r="G55" s="43"/>
      <c r="H55" s="43"/>
      <c r="I55" s="43"/>
      <c r="J55" s="43"/>
      <c r="K55" s="43"/>
      <c r="L55" s="43"/>
      <c r="M55" s="43"/>
      <c r="N55" s="43"/>
    </row>
    <row r="56" ht="15.75" customHeight="1">
      <c r="A56" s="14" t="s">
        <v>684</v>
      </c>
      <c r="B56" s="14" t="s">
        <v>25</v>
      </c>
      <c r="C56" s="14" t="s">
        <v>464</v>
      </c>
      <c r="D56" s="14" t="s">
        <v>795</v>
      </c>
      <c r="E56" s="14" t="s">
        <v>987</v>
      </c>
      <c r="F56" s="14" t="s">
        <v>218</v>
      </c>
      <c r="G56" s="14" t="s">
        <v>218</v>
      </c>
      <c r="H56" s="14" t="s">
        <v>218</v>
      </c>
      <c r="I56" s="14" t="s">
        <v>101</v>
      </c>
      <c r="J56" s="14" t="s">
        <v>101</v>
      </c>
      <c r="K56" s="14" t="s">
        <v>101</v>
      </c>
      <c r="L56" s="14" t="s">
        <v>268</v>
      </c>
      <c r="M56" s="14" t="s">
        <v>799</v>
      </c>
      <c r="N56" s="14" t="s">
        <v>988</v>
      </c>
    </row>
    <row r="57" ht="15.75" customHeight="1">
      <c r="A57" s="14" t="s">
        <v>684</v>
      </c>
      <c r="B57" s="14" t="s">
        <v>25</v>
      </c>
      <c r="C57" s="14" t="s">
        <v>464</v>
      </c>
      <c r="D57" s="14" t="s">
        <v>801</v>
      </c>
      <c r="E57" s="14" t="s">
        <v>989</v>
      </c>
      <c r="F57" s="14" t="s">
        <v>218</v>
      </c>
      <c r="G57" s="14" t="s">
        <v>218</v>
      </c>
      <c r="H57" s="14" t="s">
        <v>218</v>
      </c>
      <c r="I57" s="14" t="s">
        <v>101</v>
      </c>
      <c r="J57" s="14" t="s">
        <v>101</v>
      </c>
      <c r="K57" s="14" t="s">
        <v>101</v>
      </c>
      <c r="L57" s="14" t="s">
        <v>268</v>
      </c>
      <c r="M57" s="14" t="s">
        <v>799</v>
      </c>
      <c r="N57" s="14" t="s">
        <v>988</v>
      </c>
    </row>
    <row r="58" ht="15.75" customHeight="1">
      <c r="A58" s="14" t="s">
        <v>684</v>
      </c>
      <c r="B58" s="14" t="s">
        <v>25</v>
      </c>
      <c r="C58" s="14" t="s">
        <v>464</v>
      </c>
      <c r="D58" s="14" t="s">
        <v>805</v>
      </c>
      <c r="E58" s="14" t="s">
        <v>990</v>
      </c>
      <c r="F58" s="14" t="s">
        <v>218</v>
      </c>
      <c r="G58" s="14" t="s">
        <v>218</v>
      </c>
      <c r="H58" s="14" t="s">
        <v>218</v>
      </c>
      <c r="I58" s="14" t="s">
        <v>101</v>
      </c>
      <c r="J58" s="14" t="s">
        <v>101</v>
      </c>
      <c r="K58" s="14" t="s">
        <v>101</v>
      </c>
      <c r="L58" s="14" t="s">
        <v>268</v>
      </c>
      <c r="M58" s="14" t="s">
        <v>799</v>
      </c>
      <c r="N58" s="14" t="s">
        <v>988</v>
      </c>
    </row>
    <row r="59" ht="15.75" customHeight="1">
      <c r="A59" s="14" t="s">
        <v>684</v>
      </c>
      <c r="B59" s="14" t="s">
        <v>25</v>
      </c>
      <c r="C59" s="14" t="s">
        <v>464</v>
      </c>
      <c r="D59" s="14" t="s">
        <v>808</v>
      </c>
      <c r="E59" s="14" t="s">
        <v>991</v>
      </c>
      <c r="F59" s="14" t="s">
        <v>218</v>
      </c>
      <c r="G59" s="14" t="s">
        <v>218</v>
      </c>
      <c r="H59" s="14" t="s">
        <v>218</v>
      </c>
      <c r="I59" s="14" t="s">
        <v>101</v>
      </c>
      <c r="J59" s="14" t="s">
        <v>101</v>
      </c>
      <c r="K59" s="14" t="s">
        <v>101</v>
      </c>
      <c r="L59" s="14" t="s">
        <v>268</v>
      </c>
      <c r="M59" s="14" t="s">
        <v>799</v>
      </c>
      <c r="N59" s="14" t="s">
        <v>988</v>
      </c>
    </row>
    <row r="60" ht="15.75" customHeight="1">
      <c r="A60" s="14" t="s">
        <v>684</v>
      </c>
      <c r="B60" s="14" t="s">
        <v>25</v>
      </c>
      <c r="C60" s="14" t="s">
        <v>464</v>
      </c>
      <c r="D60" s="14" t="s">
        <v>812</v>
      </c>
      <c r="E60" s="14" t="s">
        <v>992</v>
      </c>
      <c r="F60" s="14" t="s">
        <v>218</v>
      </c>
      <c r="G60" s="14" t="s">
        <v>218</v>
      </c>
      <c r="H60" s="14" t="s">
        <v>218</v>
      </c>
      <c r="I60" s="14" t="s">
        <v>101</v>
      </c>
      <c r="J60" s="14" t="s">
        <v>101</v>
      </c>
      <c r="K60" s="14" t="s">
        <v>101</v>
      </c>
      <c r="L60" s="14" t="s">
        <v>268</v>
      </c>
      <c r="M60" s="14" t="s">
        <v>799</v>
      </c>
      <c r="N60" s="14" t="s">
        <v>988</v>
      </c>
    </row>
    <row r="61" ht="15.75" customHeight="1">
      <c r="A61" s="14" t="s">
        <v>684</v>
      </c>
      <c r="B61" s="14" t="s">
        <v>25</v>
      </c>
      <c r="C61" s="14" t="s">
        <v>464</v>
      </c>
      <c r="D61" s="14" t="s">
        <v>817</v>
      </c>
      <c r="E61" s="14" t="s">
        <v>993</v>
      </c>
      <c r="F61" s="14" t="s">
        <v>218</v>
      </c>
      <c r="G61" s="14" t="s">
        <v>218</v>
      </c>
      <c r="H61" s="14" t="s">
        <v>218</v>
      </c>
      <c r="I61" s="14" t="s">
        <v>101</v>
      </c>
      <c r="J61" s="14" t="s">
        <v>101</v>
      </c>
      <c r="K61" s="14" t="s">
        <v>101</v>
      </c>
      <c r="L61" s="14" t="s">
        <v>268</v>
      </c>
      <c r="M61" s="14" t="s">
        <v>799</v>
      </c>
      <c r="N61" s="14" t="s">
        <v>988</v>
      </c>
    </row>
    <row r="62" ht="15.75" customHeight="1">
      <c r="A62" s="43"/>
      <c r="B62" s="43"/>
      <c r="C62" s="43"/>
      <c r="D62" s="43"/>
      <c r="E62" s="43"/>
      <c r="F62" s="43"/>
      <c r="G62" s="43"/>
      <c r="H62" s="43"/>
      <c r="I62" s="43"/>
      <c r="J62" s="43"/>
      <c r="K62" s="43"/>
      <c r="L62" s="43"/>
      <c r="M62" s="43"/>
      <c r="N62" s="43"/>
    </row>
    <row r="63" ht="15.75" customHeight="1">
      <c r="A63" s="14" t="s">
        <v>684</v>
      </c>
      <c r="B63" s="14" t="s">
        <v>69</v>
      </c>
      <c r="C63" s="14" t="s">
        <v>464</v>
      </c>
      <c r="D63" s="14" t="s">
        <v>795</v>
      </c>
      <c r="E63" s="14" t="s">
        <v>830</v>
      </c>
      <c r="F63" s="14" t="s">
        <v>218</v>
      </c>
      <c r="G63" s="14" t="s">
        <v>218</v>
      </c>
      <c r="H63" s="14" t="s">
        <v>218</v>
      </c>
      <c r="I63" s="14" t="s">
        <v>101</v>
      </c>
      <c r="J63" s="14" t="s">
        <v>101</v>
      </c>
      <c r="K63" s="14" t="s">
        <v>101</v>
      </c>
      <c r="L63" s="14" t="s">
        <v>268</v>
      </c>
      <c r="M63" s="14" t="s">
        <v>799</v>
      </c>
      <c r="N63" s="14" t="s">
        <v>988</v>
      </c>
    </row>
    <row r="64" ht="15.75" customHeight="1">
      <c r="A64" s="14" t="s">
        <v>684</v>
      </c>
      <c r="B64" s="14" t="s">
        <v>69</v>
      </c>
      <c r="C64" s="14" t="s">
        <v>464</v>
      </c>
      <c r="D64" s="14" t="s">
        <v>801</v>
      </c>
      <c r="E64" s="14" t="s">
        <v>994</v>
      </c>
      <c r="F64" s="14" t="s">
        <v>218</v>
      </c>
      <c r="G64" s="14" t="s">
        <v>218</v>
      </c>
      <c r="H64" s="14" t="s">
        <v>218</v>
      </c>
      <c r="I64" s="14" t="s">
        <v>101</v>
      </c>
      <c r="J64" s="14" t="s">
        <v>101</v>
      </c>
      <c r="K64" s="14" t="s">
        <v>101</v>
      </c>
      <c r="L64" s="14" t="s">
        <v>268</v>
      </c>
      <c r="M64" s="14" t="s">
        <v>799</v>
      </c>
      <c r="N64" s="14" t="s">
        <v>988</v>
      </c>
    </row>
    <row r="65" ht="15.75" customHeight="1">
      <c r="A65" s="14" t="s">
        <v>684</v>
      </c>
      <c r="B65" s="14" t="s">
        <v>69</v>
      </c>
      <c r="C65" s="14" t="s">
        <v>464</v>
      </c>
      <c r="D65" s="14" t="s">
        <v>805</v>
      </c>
      <c r="E65" s="14" t="s">
        <v>995</v>
      </c>
      <c r="F65" s="14" t="s">
        <v>218</v>
      </c>
      <c r="G65" s="14" t="s">
        <v>218</v>
      </c>
      <c r="H65" s="14" t="s">
        <v>218</v>
      </c>
      <c r="I65" s="14" t="s">
        <v>101</v>
      </c>
      <c r="J65" s="14" t="s">
        <v>101</v>
      </c>
      <c r="K65" s="14" t="s">
        <v>101</v>
      </c>
      <c r="L65" s="14" t="s">
        <v>268</v>
      </c>
      <c r="M65" s="14" t="s">
        <v>799</v>
      </c>
      <c r="N65" s="14" t="s">
        <v>988</v>
      </c>
    </row>
    <row r="66" ht="15.75" customHeight="1">
      <c r="A66" s="14" t="s">
        <v>684</v>
      </c>
      <c r="B66" s="14" t="s">
        <v>69</v>
      </c>
      <c r="C66" s="14" t="s">
        <v>464</v>
      </c>
      <c r="D66" s="14" t="s">
        <v>808</v>
      </c>
      <c r="E66" s="14" t="s">
        <v>996</v>
      </c>
      <c r="F66" s="14" t="s">
        <v>218</v>
      </c>
      <c r="G66" s="14" t="s">
        <v>218</v>
      </c>
      <c r="H66" s="14" t="s">
        <v>218</v>
      </c>
      <c r="I66" s="14" t="s">
        <v>101</v>
      </c>
      <c r="J66" s="14" t="s">
        <v>101</v>
      </c>
      <c r="K66" s="14" t="s">
        <v>101</v>
      </c>
      <c r="L66" s="14" t="s">
        <v>268</v>
      </c>
      <c r="M66" s="14" t="s">
        <v>799</v>
      </c>
      <c r="N66" s="14" t="s">
        <v>988</v>
      </c>
    </row>
    <row r="67" ht="15.75" customHeight="1">
      <c r="A67" s="14" t="s">
        <v>684</v>
      </c>
      <c r="B67" s="14" t="s">
        <v>69</v>
      </c>
      <c r="C67" s="14" t="s">
        <v>464</v>
      </c>
      <c r="D67" s="14" t="s">
        <v>812</v>
      </c>
      <c r="E67" s="14" t="s">
        <v>997</v>
      </c>
      <c r="F67" s="14" t="s">
        <v>218</v>
      </c>
      <c r="G67" s="14" t="s">
        <v>218</v>
      </c>
      <c r="H67" s="14" t="s">
        <v>218</v>
      </c>
      <c r="I67" s="14" t="s">
        <v>101</v>
      </c>
      <c r="J67" s="14" t="s">
        <v>101</v>
      </c>
      <c r="K67" s="14" t="s">
        <v>101</v>
      </c>
      <c r="L67" s="14" t="s">
        <v>268</v>
      </c>
      <c r="M67" s="14" t="s">
        <v>799</v>
      </c>
      <c r="N67" s="14" t="s">
        <v>988</v>
      </c>
    </row>
    <row r="68" ht="15.75" customHeight="1">
      <c r="A68" s="14" t="s">
        <v>684</v>
      </c>
      <c r="B68" s="14" t="s">
        <v>69</v>
      </c>
      <c r="C68" s="14" t="s">
        <v>464</v>
      </c>
      <c r="D68" s="14" t="s">
        <v>817</v>
      </c>
      <c r="E68" s="14" t="s">
        <v>998</v>
      </c>
      <c r="F68" s="14" t="s">
        <v>218</v>
      </c>
      <c r="G68" s="14" t="s">
        <v>218</v>
      </c>
      <c r="H68" s="14" t="s">
        <v>218</v>
      </c>
      <c r="I68" s="14" t="s">
        <v>101</v>
      </c>
      <c r="J68" s="14" t="s">
        <v>101</v>
      </c>
      <c r="K68" s="14" t="s">
        <v>101</v>
      </c>
      <c r="L68" s="14" t="s">
        <v>268</v>
      </c>
      <c r="M68" s="14" t="s">
        <v>799</v>
      </c>
      <c r="N68" s="14" t="s">
        <v>988</v>
      </c>
    </row>
    <row r="69" ht="15.75" customHeight="1">
      <c r="A69" s="14" t="s">
        <v>684</v>
      </c>
      <c r="B69" s="14" t="s">
        <v>69</v>
      </c>
      <c r="C69" s="14" t="s">
        <v>464</v>
      </c>
      <c r="D69" s="14" t="s">
        <v>848</v>
      </c>
      <c r="E69" s="14" t="s">
        <v>849</v>
      </c>
      <c r="F69" s="14" t="s">
        <v>218</v>
      </c>
      <c r="G69" s="14" t="s">
        <v>218</v>
      </c>
      <c r="H69" s="14" t="s">
        <v>218</v>
      </c>
      <c r="I69" s="14" t="s">
        <v>101</v>
      </c>
      <c r="J69" s="14" t="s">
        <v>101</v>
      </c>
      <c r="K69" s="14" t="s">
        <v>101</v>
      </c>
      <c r="L69" s="14" t="s">
        <v>268</v>
      </c>
      <c r="M69" s="14" t="s">
        <v>799</v>
      </c>
      <c r="N69" s="14" t="s">
        <v>988</v>
      </c>
    </row>
    <row r="70" ht="15.75" customHeight="1">
      <c r="A70" s="43"/>
      <c r="B70" s="43"/>
      <c r="C70" s="43"/>
      <c r="D70" s="43"/>
      <c r="E70" s="43"/>
      <c r="F70" s="43"/>
      <c r="G70" s="43"/>
      <c r="H70" s="43"/>
      <c r="I70" s="43"/>
      <c r="J70" s="43"/>
      <c r="K70" s="43"/>
      <c r="L70" s="43"/>
      <c r="M70" s="43"/>
      <c r="N70" s="43"/>
    </row>
    <row r="71" ht="15.75" customHeight="1">
      <c r="A71" s="14" t="s">
        <v>684</v>
      </c>
      <c r="B71" s="14" t="s">
        <v>76</v>
      </c>
      <c r="C71" s="14" t="s">
        <v>464</v>
      </c>
      <c r="D71" s="14" t="s">
        <v>795</v>
      </c>
      <c r="E71" s="14" t="s">
        <v>854</v>
      </c>
      <c r="F71" s="14" t="s">
        <v>218</v>
      </c>
      <c r="G71" s="14" t="s">
        <v>218</v>
      </c>
      <c r="H71" s="14" t="s">
        <v>218</v>
      </c>
      <c r="I71" s="14" t="s">
        <v>101</v>
      </c>
      <c r="J71" s="14" t="s">
        <v>101</v>
      </c>
      <c r="K71" s="14" t="s">
        <v>101</v>
      </c>
      <c r="L71" s="14" t="s">
        <v>268</v>
      </c>
      <c r="M71" s="14" t="s">
        <v>799</v>
      </c>
      <c r="N71" s="14" t="s">
        <v>999</v>
      </c>
    </row>
    <row r="72" ht="15.75" customHeight="1">
      <c r="A72" s="14" t="s">
        <v>684</v>
      </c>
      <c r="B72" s="14" t="s">
        <v>76</v>
      </c>
      <c r="C72" s="14" t="s">
        <v>464</v>
      </c>
      <c r="D72" s="14" t="s">
        <v>801</v>
      </c>
      <c r="E72" s="14" t="s">
        <v>857</v>
      </c>
      <c r="F72" s="14" t="s">
        <v>218</v>
      </c>
      <c r="G72" s="14" t="s">
        <v>218</v>
      </c>
      <c r="H72" s="14" t="s">
        <v>218</v>
      </c>
      <c r="I72" s="14" t="s">
        <v>101</v>
      </c>
      <c r="J72" s="14" t="s">
        <v>101</v>
      </c>
      <c r="K72" s="14" t="s">
        <v>101</v>
      </c>
      <c r="L72" s="14" t="s">
        <v>268</v>
      </c>
      <c r="M72" s="14" t="s">
        <v>799</v>
      </c>
      <c r="N72" s="14" t="s">
        <v>1000</v>
      </c>
    </row>
    <row r="73" ht="15.75" customHeight="1">
      <c r="A73" s="14" t="s">
        <v>684</v>
      </c>
      <c r="B73" s="14" t="s">
        <v>76</v>
      </c>
      <c r="C73" s="14" t="s">
        <v>464</v>
      </c>
      <c r="D73" s="14" t="s">
        <v>805</v>
      </c>
      <c r="E73" s="14" t="s">
        <v>861</v>
      </c>
      <c r="F73" s="14" t="s">
        <v>218</v>
      </c>
      <c r="G73" s="14" t="s">
        <v>218</v>
      </c>
      <c r="H73" s="14" t="s">
        <v>218</v>
      </c>
      <c r="I73" s="14" t="s">
        <v>101</v>
      </c>
      <c r="J73" s="14" t="s">
        <v>101</v>
      </c>
      <c r="K73" s="14" t="s">
        <v>101</v>
      </c>
      <c r="L73" s="14" t="s">
        <v>268</v>
      </c>
      <c r="M73" s="14" t="s">
        <v>799</v>
      </c>
      <c r="N73" s="14" t="s">
        <v>1001</v>
      </c>
    </row>
    <row r="74" ht="15.75" customHeight="1">
      <c r="A74" s="14" t="s">
        <v>684</v>
      </c>
      <c r="B74" s="14" t="s">
        <v>76</v>
      </c>
      <c r="C74" s="14" t="s">
        <v>464</v>
      </c>
      <c r="D74" s="14" t="s">
        <v>808</v>
      </c>
      <c r="E74" s="14" t="s">
        <v>867</v>
      </c>
      <c r="F74" s="14" t="s">
        <v>218</v>
      </c>
      <c r="G74" s="14" t="s">
        <v>218</v>
      </c>
      <c r="H74" s="14" t="s">
        <v>218</v>
      </c>
      <c r="I74" s="14" t="s">
        <v>101</v>
      </c>
      <c r="J74" s="14" t="s">
        <v>101</v>
      </c>
      <c r="K74" s="14" t="s">
        <v>101</v>
      </c>
      <c r="L74" s="14" t="s">
        <v>268</v>
      </c>
      <c r="M74" s="14" t="s">
        <v>799</v>
      </c>
      <c r="N74" s="14" t="s">
        <v>1002</v>
      </c>
    </row>
    <row r="75" ht="15.75" customHeight="1">
      <c r="A75" s="14" t="s">
        <v>684</v>
      </c>
      <c r="B75" s="14" t="s">
        <v>76</v>
      </c>
      <c r="C75" s="14" t="s">
        <v>464</v>
      </c>
      <c r="D75" s="14" t="s">
        <v>812</v>
      </c>
      <c r="E75" s="14" t="s">
        <v>1003</v>
      </c>
      <c r="F75" s="14" t="s">
        <v>218</v>
      </c>
      <c r="G75" s="14" t="s">
        <v>218</v>
      </c>
      <c r="H75" s="14" t="s">
        <v>218</v>
      </c>
      <c r="I75" s="14" t="s">
        <v>101</v>
      </c>
      <c r="J75" s="14" t="s">
        <v>218</v>
      </c>
      <c r="K75" s="14" t="s">
        <v>101</v>
      </c>
      <c r="L75" s="14" t="s">
        <v>268</v>
      </c>
      <c r="M75" s="14" t="s">
        <v>875</v>
      </c>
      <c r="N75" s="14" t="s">
        <v>1004</v>
      </c>
    </row>
    <row r="76" ht="15.75" customHeight="1">
      <c r="A76" s="14" t="s">
        <v>684</v>
      </c>
      <c r="B76" s="14" t="s">
        <v>76</v>
      </c>
      <c r="C76" s="14" t="s">
        <v>464</v>
      </c>
      <c r="D76" s="14" t="s">
        <v>817</v>
      </c>
      <c r="E76" s="14" t="s">
        <v>879</v>
      </c>
      <c r="F76" s="14" t="s">
        <v>218</v>
      </c>
      <c r="G76" s="14" t="s">
        <v>218</v>
      </c>
      <c r="H76" s="14" t="s">
        <v>218</v>
      </c>
      <c r="I76" s="14" t="s">
        <v>101</v>
      </c>
      <c r="J76" s="14" t="s">
        <v>101</v>
      </c>
      <c r="K76" s="14" t="s">
        <v>101</v>
      </c>
      <c r="L76" s="14" t="s">
        <v>268</v>
      </c>
      <c r="M76" s="14" t="s">
        <v>799</v>
      </c>
      <c r="N76" s="14" t="s">
        <v>1005</v>
      </c>
    </row>
    <row r="77" ht="15.75" customHeight="1">
      <c r="A77" s="14" t="s">
        <v>684</v>
      </c>
      <c r="B77" s="14" t="s">
        <v>76</v>
      </c>
      <c r="C77" s="14" t="s">
        <v>464</v>
      </c>
      <c r="D77" s="14" t="s">
        <v>848</v>
      </c>
      <c r="E77" s="14" t="s">
        <v>882</v>
      </c>
      <c r="F77" s="14" t="s">
        <v>218</v>
      </c>
      <c r="G77" s="14" t="s">
        <v>218</v>
      </c>
      <c r="H77" s="14" t="s">
        <v>218</v>
      </c>
      <c r="I77" s="14" t="s">
        <v>101</v>
      </c>
      <c r="J77" s="14" t="s">
        <v>101</v>
      </c>
      <c r="K77" s="14" t="s">
        <v>101</v>
      </c>
      <c r="L77" s="14" t="s">
        <v>268</v>
      </c>
      <c r="M77" s="14" t="s">
        <v>799</v>
      </c>
      <c r="N77" s="14" t="s">
        <v>1006</v>
      </c>
    </row>
    <row r="78" ht="15.75" customHeight="1">
      <c r="A78" s="14" t="s">
        <v>684</v>
      </c>
      <c r="B78" s="14" t="s">
        <v>76</v>
      </c>
      <c r="C78" s="14" t="s">
        <v>464</v>
      </c>
      <c r="D78" s="14" t="s">
        <v>886</v>
      </c>
      <c r="E78" s="14" t="s">
        <v>887</v>
      </c>
      <c r="F78" s="14" t="s">
        <v>218</v>
      </c>
      <c r="G78" s="14" t="s">
        <v>218</v>
      </c>
      <c r="H78" s="14" t="s">
        <v>218</v>
      </c>
      <c r="I78" s="14" t="s">
        <v>101</v>
      </c>
      <c r="J78" s="14" t="s">
        <v>101</v>
      </c>
      <c r="K78" s="14" t="s">
        <v>101</v>
      </c>
      <c r="L78" s="14" t="s">
        <v>268</v>
      </c>
      <c r="M78" s="14" t="s">
        <v>799</v>
      </c>
      <c r="N78" s="14" t="s">
        <v>1007</v>
      </c>
    </row>
    <row r="79" ht="15.75" customHeight="1">
      <c r="A79" s="14" t="s">
        <v>684</v>
      </c>
      <c r="B79" s="14" t="s">
        <v>76</v>
      </c>
      <c r="C79" s="14" t="s">
        <v>464</v>
      </c>
      <c r="D79" s="14" t="s">
        <v>891</v>
      </c>
      <c r="E79" s="14" t="s">
        <v>892</v>
      </c>
      <c r="F79" s="14" t="s">
        <v>218</v>
      </c>
      <c r="G79" s="14" t="s">
        <v>218</v>
      </c>
      <c r="H79" s="14" t="s">
        <v>218</v>
      </c>
      <c r="I79" s="14" t="s">
        <v>101</v>
      </c>
      <c r="J79" s="14" t="s">
        <v>101</v>
      </c>
      <c r="K79" s="14" t="s">
        <v>101</v>
      </c>
      <c r="L79" s="14" t="s">
        <v>268</v>
      </c>
      <c r="M79" s="14" t="s">
        <v>799</v>
      </c>
      <c r="N79" s="14" t="s">
        <v>1008</v>
      </c>
    </row>
    <row r="80" ht="15.75" customHeight="1">
      <c r="A80" s="14" t="s">
        <v>684</v>
      </c>
      <c r="B80" s="14" t="s">
        <v>76</v>
      </c>
      <c r="C80" s="14" t="s">
        <v>464</v>
      </c>
      <c r="D80" s="14" t="s">
        <v>895</v>
      </c>
      <c r="E80" s="14" t="s">
        <v>896</v>
      </c>
      <c r="F80" s="14" t="s">
        <v>218</v>
      </c>
      <c r="G80" s="14" t="s">
        <v>218</v>
      </c>
      <c r="H80" s="14" t="s">
        <v>218</v>
      </c>
      <c r="I80" s="14" t="s">
        <v>101</v>
      </c>
      <c r="J80" s="14" t="s">
        <v>101</v>
      </c>
      <c r="K80" s="14" t="s">
        <v>101</v>
      </c>
      <c r="L80" s="14" t="s">
        <v>268</v>
      </c>
      <c r="M80" s="14" t="s">
        <v>799</v>
      </c>
      <c r="N80" s="14" t="s">
        <v>1009</v>
      </c>
    </row>
    <row r="81" ht="15.75" customHeight="1">
      <c r="A81" s="43"/>
      <c r="B81" s="43"/>
      <c r="C81" s="43"/>
      <c r="D81" s="43"/>
      <c r="E81" s="43"/>
      <c r="F81" s="43"/>
      <c r="G81" s="43"/>
      <c r="H81" s="43"/>
      <c r="I81" s="43"/>
      <c r="J81" s="43"/>
      <c r="K81" s="43"/>
      <c r="L81" s="43"/>
      <c r="M81" s="43"/>
      <c r="N81" s="43"/>
    </row>
    <row r="82" ht="15.75" customHeight="1">
      <c r="A82" s="14" t="s">
        <v>815</v>
      </c>
      <c r="B82" s="14" t="s">
        <v>25</v>
      </c>
      <c r="C82" s="14" t="s">
        <v>458</v>
      </c>
      <c r="D82" s="14" t="s">
        <v>795</v>
      </c>
      <c r="E82" s="14" t="s">
        <v>987</v>
      </c>
      <c r="F82" s="14" t="s">
        <v>218</v>
      </c>
      <c r="G82" s="14" t="s">
        <v>218</v>
      </c>
      <c r="H82" s="14" t="s">
        <v>218</v>
      </c>
      <c r="I82" s="14" t="s">
        <v>101</v>
      </c>
      <c r="J82" s="14" t="s">
        <v>101</v>
      </c>
      <c r="K82" s="14" t="s">
        <v>101</v>
      </c>
      <c r="L82" s="14" t="s">
        <v>268</v>
      </c>
      <c r="M82" s="14" t="s">
        <v>799</v>
      </c>
      <c r="N82" s="14" t="s">
        <v>915</v>
      </c>
    </row>
    <row r="83" ht="15.75" customHeight="1">
      <c r="A83" s="14" t="s">
        <v>815</v>
      </c>
      <c r="B83" s="14" t="s">
        <v>25</v>
      </c>
      <c r="C83" s="14" t="s">
        <v>458</v>
      </c>
      <c r="D83" s="14" t="s">
        <v>801</v>
      </c>
      <c r="E83" s="14" t="s">
        <v>989</v>
      </c>
      <c r="F83" s="14" t="s">
        <v>218</v>
      </c>
      <c r="G83" s="14" t="s">
        <v>218</v>
      </c>
      <c r="H83" s="14" t="s">
        <v>218</v>
      </c>
      <c r="I83" s="14" t="s">
        <v>101</v>
      </c>
      <c r="J83" s="14" t="s">
        <v>101</v>
      </c>
      <c r="K83" s="14" t="s">
        <v>101</v>
      </c>
      <c r="L83" s="14" t="s">
        <v>268</v>
      </c>
      <c r="M83" s="14" t="s">
        <v>799</v>
      </c>
      <c r="N83" s="14" t="s">
        <v>915</v>
      </c>
    </row>
    <row r="84" ht="15.75" customHeight="1">
      <c r="A84" s="14" t="s">
        <v>815</v>
      </c>
      <c r="B84" s="14" t="s">
        <v>25</v>
      </c>
      <c r="C84" s="14" t="s">
        <v>458</v>
      </c>
      <c r="D84" s="14" t="s">
        <v>805</v>
      </c>
      <c r="E84" s="14" t="s">
        <v>990</v>
      </c>
      <c r="F84" s="14" t="s">
        <v>218</v>
      </c>
      <c r="G84" s="14" t="s">
        <v>218</v>
      </c>
      <c r="H84" s="14" t="s">
        <v>218</v>
      </c>
      <c r="I84" s="14" t="s">
        <v>101</v>
      </c>
      <c r="J84" s="14" t="s">
        <v>101</v>
      </c>
      <c r="K84" s="14" t="s">
        <v>101</v>
      </c>
      <c r="L84" s="14" t="s">
        <v>268</v>
      </c>
      <c r="M84" s="14" t="s">
        <v>799</v>
      </c>
      <c r="N84" s="14" t="s">
        <v>915</v>
      </c>
    </row>
    <row r="85" ht="15.75" customHeight="1">
      <c r="A85" s="14" t="s">
        <v>815</v>
      </c>
      <c r="B85" s="14" t="s">
        <v>25</v>
      </c>
      <c r="C85" s="14" t="s">
        <v>458</v>
      </c>
      <c r="D85" s="14" t="s">
        <v>808</v>
      </c>
      <c r="E85" s="14" t="s">
        <v>991</v>
      </c>
      <c r="F85" s="14" t="s">
        <v>218</v>
      </c>
      <c r="G85" s="14" t="s">
        <v>218</v>
      </c>
      <c r="H85" s="14" t="s">
        <v>218</v>
      </c>
      <c r="I85" s="14" t="s">
        <v>101</v>
      </c>
      <c r="J85" s="14" t="s">
        <v>101</v>
      </c>
      <c r="K85" s="14" t="s">
        <v>101</v>
      </c>
      <c r="L85" s="14" t="s">
        <v>268</v>
      </c>
      <c r="M85" s="14" t="s">
        <v>799</v>
      </c>
      <c r="N85" s="14" t="s">
        <v>915</v>
      </c>
    </row>
    <row r="86" ht="15.75" customHeight="1">
      <c r="A86" s="14" t="s">
        <v>815</v>
      </c>
      <c r="B86" s="14" t="s">
        <v>25</v>
      </c>
      <c r="C86" s="14" t="s">
        <v>458</v>
      </c>
      <c r="D86" s="14" t="s">
        <v>812</v>
      </c>
      <c r="E86" s="14" t="s">
        <v>992</v>
      </c>
      <c r="F86" s="14" t="s">
        <v>218</v>
      </c>
      <c r="G86" s="14" t="s">
        <v>218</v>
      </c>
      <c r="H86" s="14" t="s">
        <v>218</v>
      </c>
      <c r="I86" s="14" t="s">
        <v>101</v>
      </c>
      <c r="J86" s="14" t="s">
        <v>101</v>
      </c>
      <c r="K86" s="14" t="s">
        <v>101</v>
      </c>
      <c r="L86" s="14" t="s">
        <v>268</v>
      </c>
      <c r="M86" s="14" t="s">
        <v>799</v>
      </c>
      <c r="N86" s="14" t="s">
        <v>915</v>
      </c>
    </row>
    <row r="87" ht="15.75" customHeight="1">
      <c r="A87" s="14" t="s">
        <v>815</v>
      </c>
      <c r="B87" s="14" t="s">
        <v>25</v>
      </c>
      <c r="C87" s="14" t="s">
        <v>458</v>
      </c>
      <c r="D87" s="14" t="s">
        <v>817</v>
      </c>
      <c r="E87" s="14" t="s">
        <v>993</v>
      </c>
      <c r="F87" s="14" t="s">
        <v>218</v>
      </c>
      <c r="G87" s="14" t="s">
        <v>218</v>
      </c>
      <c r="H87" s="14" t="s">
        <v>218</v>
      </c>
      <c r="I87" s="14" t="s">
        <v>101</v>
      </c>
      <c r="J87" s="14" t="s">
        <v>101</v>
      </c>
      <c r="K87" s="14" t="s">
        <v>101</v>
      </c>
      <c r="L87" s="14" t="s">
        <v>268</v>
      </c>
      <c r="M87" s="14" t="s">
        <v>799</v>
      </c>
      <c r="N87" s="14" t="s">
        <v>915</v>
      </c>
    </row>
    <row r="88" ht="15.75" customHeight="1">
      <c r="A88" s="43"/>
      <c r="B88" s="43"/>
      <c r="C88" s="43"/>
      <c r="D88" s="43"/>
      <c r="E88" s="43"/>
      <c r="F88" s="43"/>
      <c r="G88" s="43"/>
      <c r="H88" s="43"/>
      <c r="I88" s="43"/>
      <c r="J88" s="43"/>
      <c r="K88" s="43"/>
      <c r="L88" s="43"/>
      <c r="M88" s="43"/>
      <c r="N88" s="43"/>
    </row>
    <row r="89" ht="15.75" customHeight="1">
      <c r="A89" s="14" t="s">
        <v>815</v>
      </c>
      <c r="B89" s="14" t="s">
        <v>25</v>
      </c>
      <c r="C89" s="14" t="s">
        <v>462</v>
      </c>
      <c r="D89" s="14" t="s">
        <v>795</v>
      </c>
      <c r="E89" s="14" t="s">
        <v>987</v>
      </c>
      <c r="F89" s="14" t="s">
        <v>218</v>
      </c>
      <c r="G89" s="14" t="s">
        <v>218</v>
      </c>
      <c r="H89" s="14" t="s">
        <v>218</v>
      </c>
      <c r="I89" s="14" t="s">
        <v>101</v>
      </c>
      <c r="J89" s="14" t="s">
        <v>101</v>
      </c>
      <c r="K89" s="14" t="s">
        <v>101</v>
      </c>
      <c r="L89" s="14" t="s">
        <v>268</v>
      </c>
      <c r="M89" s="14" t="s">
        <v>799</v>
      </c>
      <c r="N89" s="14" t="s">
        <v>988</v>
      </c>
    </row>
    <row r="90" ht="15.75" customHeight="1">
      <c r="A90" s="14" t="s">
        <v>815</v>
      </c>
      <c r="B90" s="14" t="s">
        <v>25</v>
      </c>
      <c r="C90" s="14" t="s">
        <v>462</v>
      </c>
      <c r="D90" s="14" t="s">
        <v>801</v>
      </c>
      <c r="E90" s="14" t="s">
        <v>989</v>
      </c>
      <c r="F90" s="14" t="s">
        <v>218</v>
      </c>
      <c r="G90" s="14" t="s">
        <v>218</v>
      </c>
      <c r="H90" s="14" t="s">
        <v>218</v>
      </c>
      <c r="I90" s="14" t="s">
        <v>101</v>
      </c>
      <c r="J90" s="14" t="s">
        <v>101</v>
      </c>
      <c r="K90" s="14" t="s">
        <v>101</v>
      </c>
      <c r="L90" s="14" t="s">
        <v>268</v>
      </c>
      <c r="M90" s="14" t="s">
        <v>799</v>
      </c>
      <c r="N90" s="14" t="s">
        <v>988</v>
      </c>
    </row>
    <row r="91" ht="15.75" customHeight="1">
      <c r="A91" s="14" t="s">
        <v>815</v>
      </c>
      <c r="B91" s="14" t="s">
        <v>25</v>
      </c>
      <c r="C91" s="14" t="s">
        <v>462</v>
      </c>
      <c r="D91" s="14" t="s">
        <v>805</v>
      </c>
      <c r="E91" s="14" t="s">
        <v>990</v>
      </c>
      <c r="F91" s="14" t="s">
        <v>218</v>
      </c>
      <c r="G91" s="14" t="s">
        <v>218</v>
      </c>
      <c r="H91" s="14" t="s">
        <v>218</v>
      </c>
      <c r="I91" s="14" t="s">
        <v>101</v>
      </c>
      <c r="J91" s="14" t="s">
        <v>101</v>
      </c>
      <c r="K91" s="14" t="s">
        <v>101</v>
      </c>
      <c r="L91" s="14" t="s">
        <v>268</v>
      </c>
      <c r="M91" s="14" t="s">
        <v>799</v>
      </c>
      <c r="N91" s="14" t="s">
        <v>988</v>
      </c>
    </row>
    <row r="92" ht="15.75" customHeight="1">
      <c r="A92" s="14" t="s">
        <v>815</v>
      </c>
      <c r="B92" s="14" t="s">
        <v>25</v>
      </c>
      <c r="C92" s="14" t="s">
        <v>462</v>
      </c>
      <c r="D92" s="14" t="s">
        <v>808</v>
      </c>
      <c r="E92" s="14" t="s">
        <v>991</v>
      </c>
      <c r="F92" s="14" t="s">
        <v>218</v>
      </c>
      <c r="G92" s="14" t="s">
        <v>218</v>
      </c>
      <c r="H92" s="14" t="s">
        <v>218</v>
      </c>
      <c r="I92" s="14" t="s">
        <v>101</v>
      </c>
      <c r="J92" s="14" t="s">
        <v>101</v>
      </c>
      <c r="K92" s="14" t="s">
        <v>101</v>
      </c>
      <c r="L92" s="14" t="s">
        <v>268</v>
      </c>
      <c r="M92" s="14" t="s">
        <v>799</v>
      </c>
      <c r="N92" s="14" t="s">
        <v>988</v>
      </c>
    </row>
    <row r="93" ht="15.75" customHeight="1">
      <c r="A93" s="14" t="s">
        <v>815</v>
      </c>
      <c r="B93" s="14" t="s">
        <v>25</v>
      </c>
      <c r="C93" s="14" t="s">
        <v>462</v>
      </c>
      <c r="D93" s="14" t="s">
        <v>812</v>
      </c>
      <c r="E93" s="14" t="s">
        <v>992</v>
      </c>
      <c r="F93" s="14" t="s">
        <v>218</v>
      </c>
      <c r="G93" s="14" t="s">
        <v>218</v>
      </c>
      <c r="H93" s="14" t="s">
        <v>218</v>
      </c>
      <c r="I93" s="14" t="s">
        <v>101</v>
      </c>
      <c r="J93" s="14" t="s">
        <v>101</v>
      </c>
      <c r="K93" s="14" t="s">
        <v>101</v>
      </c>
      <c r="L93" s="14" t="s">
        <v>268</v>
      </c>
      <c r="M93" s="14" t="s">
        <v>799</v>
      </c>
      <c r="N93" s="14" t="s">
        <v>988</v>
      </c>
    </row>
    <row r="94" ht="15.75" customHeight="1">
      <c r="A94" s="14" t="s">
        <v>815</v>
      </c>
      <c r="B94" s="14" t="s">
        <v>25</v>
      </c>
      <c r="C94" s="14" t="s">
        <v>462</v>
      </c>
      <c r="D94" s="14" t="s">
        <v>817</v>
      </c>
      <c r="E94" s="14" t="s">
        <v>993</v>
      </c>
      <c r="F94" s="14" t="s">
        <v>218</v>
      </c>
      <c r="G94" s="14" t="s">
        <v>218</v>
      </c>
      <c r="H94" s="14" t="s">
        <v>218</v>
      </c>
      <c r="I94" s="14" t="s">
        <v>101</v>
      </c>
      <c r="J94" s="14" t="s">
        <v>101</v>
      </c>
      <c r="K94" s="14" t="s">
        <v>101</v>
      </c>
      <c r="L94" s="14" t="s">
        <v>268</v>
      </c>
      <c r="M94" s="14" t="s">
        <v>799</v>
      </c>
      <c r="N94" s="14" t="s">
        <v>988</v>
      </c>
    </row>
    <row r="95" ht="15.75" customHeight="1">
      <c r="A95" s="43"/>
      <c r="B95" s="43"/>
      <c r="C95" s="43"/>
      <c r="D95" s="43"/>
      <c r="E95" s="43"/>
      <c r="F95" s="43"/>
      <c r="G95" s="43"/>
      <c r="H95" s="43"/>
      <c r="I95" s="43"/>
      <c r="J95" s="43"/>
      <c r="K95" s="43"/>
      <c r="L95" s="43"/>
      <c r="M95" s="43"/>
      <c r="N95" s="43"/>
    </row>
    <row r="96" ht="15.75" customHeight="1">
      <c r="A96" s="14" t="s">
        <v>815</v>
      </c>
      <c r="B96" s="14" t="s">
        <v>25</v>
      </c>
      <c r="C96" s="14" t="s">
        <v>464</v>
      </c>
      <c r="D96" s="14" t="s">
        <v>795</v>
      </c>
      <c r="E96" s="14" t="s">
        <v>987</v>
      </c>
      <c r="F96" s="14" t="s">
        <v>218</v>
      </c>
      <c r="G96" s="14" t="s">
        <v>218</v>
      </c>
      <c r="H96" s="14" t="s">
        <v>218</v>
      </c>
      <c r="I96" s="14" t="s">
        <v>101</v>
      </c>
      <c r="J96" s="14" t="s">
        <v>101</v>
      </c>
      <c r="K96" s="14" t="s">
        <v>101</v>
      </c>
      <c r="L96" s="14" t="s">
        <v>268</v>
      </c>
      <c r="M96" s="14" t="s">
        <v>799</v>
      </c>
      <c r="N96" s="14" t="s">
        <v>988</v>
      </c>
    </row>
    <row r="97" ht="15.75" customHeight="1">
      <c r="A97" s="14" t="s">
        <v>815</v>
      </c>
      <c r="B97" s="14" t="s">
        <v>25</v>
      </c>
      <c r="C97" s="14" t="s">
        <v>464</v>
      </c>
      <c r="D97" s="14" t="s">
        <v>801</v>
      </c>
      <c r="E97" s="14" t="s">
        <v>989</v>
      </c>
      <c r="F97" s="14" t="s">
        <v>218</v>
      </c>
      <c r="G97" s="14" t="s">
        <v>218</v>
      </c>
      <c r="H97" s="14" t="s">
        <v>218</v>
      </c>
      <c r="I97" s="14" t="s">
        <v>101</v>
      </c>
      <c r="J97" s="14" t="s">
        <v>101</v>
      </c>
      <c r="K97" s="14" t="s">
        <v>101</v>
      </c>
      <c r="L97" s="14" t="s">
        <v>268</v>
      </c>
      <c r="M97" s="14" t="s">
        <v>799</v>
      </c>
      <c r="N97" s="14" t="s">
        <v>988</v>
      </c>
    </row>
    <row r="98" ht="15.75" customHeight="1">
      <c r="A98" s="14" t="s">
        <v>815</v>
      </c>
      <c r="B98" s="14" t="s">
        <v>25</v>
      </c>
      <c r="C98" s="14" t="s">
        <v>464</v>
      </c>
      <c r="D98" s="14" t="s">
        <v>805</v>
      </c>
      <c r="E98" s="14" t="s">
        <v>990</v>
      </c>
      <c r="F98" s="14" t="s">
        <v>218</v>
      </c>
      <c r="G98" s="14" t="s">
        <v>218</v>
      </c>
      <c r="H98" s="14" t="s">
        <v>218</v>
      </c>
      <c r="I98" s="14" t="s">
        <v>101</v>
      </c>
      <c r="J98" s="14" t="s">
        <v>101</v>
      </c>
      <c r="K98" s="14" t="s">
        <v>101</v>
      </c>
      <c r="L98" s="14" t="s">
        <v>268</v>
      </c>
      <c r="M98" s="14" t="s">
        <v>799</v>
      </c>
      <c r="N98" s="14" t="s">
        <v>988</v>
      </c>
    </row>
    <row r="99" ht="15.75" customHeight="1">
      <c r="A99" s="14" t="s">
        <v>815</v>
      </c>
      <c r="B99" s="14" t="s">
        <v>25</v>
      </c>
      <c r="C99" s="14" t="s">
        <v>464</v>
      </c>
      <c r="D99" s="14" t="s">
        <v>808</v>
      </c>
      <c r="E99" s="14" t="s">
        <v>991</v>
      </c>
      <c r="F99" s="14" t="s">
        <v>218</v>
      </c>
      <c r="G99" s="14" t="s">
        <v>218</v>
      </c>
      <c r="H99" s="14" t="s">
        <v>218</v>
      </c>
      <c r="I99" s="14" t="s">
        <v>101</v>
      </c>
      <c r="J99" s="14" t="s">
        <v>101</v>
      </c>
      <c r="K99" s="14" t="s">
        <v>101</v>
      </c>
      <c r="L99" s="14" t="s">
        <v>268</v>
      </c>
      <c r="M99" s="14" t="s">
        <v>799</v>
      </c>
      <c r="N99" s="14" t="s">
        <v>988</v>
      </c>
    </row>
    <row r="100" ht="15.75" customHeight="1">
      <c r="A100" s="14" t="s">
        <v>815</v>
      </c>
      <c r="B100" s="14" t="s">
        <v>25</v>
      </c>
      <c r="C100" s="14" t="s">
        <v>464</v>
      </c>
      <c r="D100" s="14" t="s">
        <v>812</v>
      </c>
      <c r="E100" s="14" t="s">
        <v>992</v>
      </c>
      <c r="F100" s="14" t="s">
        <v>218</v>
      </c>
      <c r="G100" s="14" t="s">
        <v>218</v>
      </c>
      <c r="H100" s="14" t="s">
        <v>218</v>
      </c>
      <c r="I100" s="14" t="s">
        <v>101</v>
      </c>
      <c r="J100" s="14" t="s">
        <v>101</v>
      </c>
      <c r="K100" s="14" t="s">
        <v>101</v>
      </c>
      <c r="L100" s="14" t="s">
        <v>268</v>
      </c>
      <c r="M100" s="14" t="s">
        <v>799</v>
      </c>
      <c r="N100" s="14" t="s">
        <v>988</v>
      </c>
    </row>
    <row r="101" ht="15.75" customHeight="1">
      <c r="A101" s="14" t="s">
        <v>815</v>
      </c>
      <c r="B101" s="14" t="s">
        <v>25</v>
      </c>
      <c r="C101" s="14" t="s">
        <v>464</v>
      </c>
      <c r="D101" s="14" t="s">
        <v>817</v>
      </c>
      <c r="E101" s="14" t="s">
        <v>993</v>
      </c>
      <c r="F101" s="14" t="s">
        <v>218</v>
      </c>
      <c r="G101" s="14" t="s">
        <v>218</v>
      </c>
      <c r="H101" s="14" t="s">
        <v>218</v>
      </c>
      <c r="I101" s="14" t="s">
        <v>101</v>
      </c>
      <c r="J101" s="14" t="s">
        <v>101</v>
      </c>
      <c r="K101" s="14" t="s">
        <v>101</v>
      </c>
      <c r="L101" s="14" t="s">
        <v>268</v>
      </c>
      <c r="M101" s="14" t="s">
        <v>799</v>
      </c>
      <c r="N101" s="14" t="s">
        <v>988</v>
      </c>
    </row>
    <row r="102" ht="15.75" customHeight="1">
      <c r="A102" s="43"/>
      <c r="B102" s="43"/>
      <c r="C102" s="43"/>
      <c r="D102" s="43"/>
      <c r="E102" s="43"/>
      <c r="F102" s="43"/>
      <c r="G102" s="43"/>
      <c r="H102" s="43"/>
      <c r="I102" s="43"/>
      <c r="J102" s="43"/>
      <c r="K102" s="43"/>
      <c r="L102" s="43"/>
      <c r="M102" s="43"/>
      <c r="N102" s="43"/>
    </row>
    <row r="103" ht="15.75" customHeight="1">
      <c r="A103" s="14" t="s">
        <v>815</v>
      </c>
      <c r="B103" s="14" t="s">
        <v>69</v>
      </c>
      <c r="C103" s="14" t="s">
        <v>458</v>
      </c>
      <c r="D103" s="14" t="s">
        <v>795</v>
      </c>
      <c r="E103" s="14" t="s">
        <v>830</v>
      </c>
      <c r="F103" s="14" t="s">
        <v>218</v>
      </c>
      <c r="G103" s="14" t="s">
        <v>218</v>
      </c>
      <c r="H103" s="14" t="s">
        <v>218</v>
      </c>
      <c r="I103" s="14" t="s">
        <v>101</v>
      </c>
      <c r="J103" s="14" t="s">
        <v>101</v>
      </c>
      <c r="K103" s="14" t="s">
        <v>101</v>
      </c>
      <c r="L103" s="14" t="s">
        <v>268</v>
      </c>
      <c r="M103" s="14" t="s">
        <v>799</v>
      </c>
      <c r="N103" s="14" t="s">
        <v>988</v>
      </c>
    </row>
    <row r="104" ht="15.75" customHeight="1">
      <c r="A104" s="14" t="s">
        <v>815</v>
      </c>
      <c r="B104" s="14" t="s">
        <v>69</v>
      </c>
      <c r="C104" s="14" t="s">
        <v>458</v>
      </c>
      <c r="D104" s="14" t="s">
        <v>801</v>
      </c>
      <c r="E104" s="14" t="s">
        <v>994</v>
      </c>
      <c r="F104" s="14" t="s">
        <v>218</v>
      </c>
      <c r="G104" s="14" t="s">
        <v>218</v>
      </c>
      <c r="H104" s="14" t="s">
        <v>218</v>
      </c>
      <c r="I104" s="14" t="s">
        <v>101</v>
      </c>
      <c r="J104" s="14" t="s">
        <v>101</v>
      </c>
      <c r="K104" s="14" t="s">
        <v>101</v>
      </c>
      <c r="L104" s="14" t="s">
        <v>268</v>
      </c>
      <c r="M104" s="14" t="s">
        <v>799</v>
      </c>
      <c r="N104" s="14" t="s">
        <v>988</v>
      </c>
    </row>
    <row r="105" ht="15.75" customHeight="1">
      <c r="A105" s="14" t="s">
        <v>815</v>
      </c>
      <c r="B105" s="14" t="s">
        <v>69</v>
      </c>
      <c r="C105" s="14" t="s">
        <v>458</v>
      </c>
      <c r="D105" s="14" t="s">
        <v>805</v>
      </c>
      <c r="E105" s="14" t="s">
        <v>995</v>
      </c>
      <c r="F105" s="14" t="s">
        <v>218</v>
      </c>
      <c r="G105" s="14" t="s">
        <v>218</v>
      </c>
      <c r="H105" s="14" t="s">
        <v>218</v>
      </c>
      <c r="I105" s="14" t="s">
        <v>101</v>
      </c>
      <c r="J105" s="14" t="s">
        <v>101</v>
      </c>
      <c r="K105" s="14" t="s">
        <v>101</v>
      </c>
      <c r="L105" s="14" t="s">
        <v>268</v>
      </c>
      <c r="M105" s="14" t="s">
        <v>799</v>
      </c>
      <c r="N105" s="14" t="s">
        <v>988</v>
      </c>
    </row>
    <row r="106" ht="15.75" customHeight="1">
      <c r="A106" s="14" t="s">
        <v>815</v>
      </c>
      <c r="B106" s="14" t="s">
        <v>69</v>
      </c>
      <c r="C106" s="14" t="s">
        <v>458</v>
      </c>
      <c r="D106" s="14" t="s">
        <v>808</v>
      </c>
      <c r="E106" s="14" t="s">
        <v>996</v>
      </c>
      <c r="F106" s="14" t="s">
        <v>218</v>
      </c>
      <c r="G106" s="14" t="s">
        <v>218</v>
      </c>
      <c r="H106" s="14" t="s">
        <v>218</v>
      </c>
      <c r="I106" s="14" t="s">
        <v>101</v>
      </c>
      <c r="J106" s="14" t="s">
        <v>101</v>
      </c>
      <c r="K106" s="14" t="s">
        <v>101</v>
      </c>
      <c r="L106" s="14" t="s">
        <v>268</v>
      </c>
      <c r="M106" s="14" t="s">
        <v>799</v>
      </c>
      <c r="N106" s="14" t="s">
        <v>988</v>
      </c>
    </row>
    <row r="107" ht="15.75" customHeight="1">
      <c r="A107" s="14" t="s">
        <v>815</v>
      </c>
      <c r="B107" s="14" t="s">
        <v>69</v>
      </c>
      <c r="C107" s="14" t="s">
        <v>458</v>
      </c>
      <c r="D107" s="14" t="s">
        <v>812</v>
      </c>
      <c r="E107" s="14" t="s">
        <v>997</v>
      </c>
      <c r="F107" s="14" t="s">
        <v>218</v>
      </c>
      <c r="G107" s="14" t="s">
        <v>218</v>
      </c>
      <c r="H107" s="14" t="s">
        <v>218</v>
      </c>
      <c r="I107" s="14" t="s">
        <v>101</v>
      </c>
      <c r="J107" s="14" t="s">
        <v>101</v>
      </c>
      <c r="K107" s="14" t="s">
        <v>101</v>
      </c>
      <c r="L107" s="14" t="s">
        <v>268</v>
      </c>
      <c r="M107" s="14" t="s">
        <v>799</v>
      </c>
      <c r="N107" s="14" t="s">
        <v>988</v>
      </c>
    </row>
    <row r="108" ht="15.75" customHeight="1">
      <c r="A108" s="14" t="s">
        <v>815</v>
      </c>
      <c r="B108" s="14" t="s">
        <v>69</v>
      </c>
      <c r="C108" s="14" t="s">
        <v>458</v>
      </c>
      <c r="D108" s="14" t="s">
        <v>817</v>
      </c>
      <c r="E108" s="14" t="s">
        <v>998</v>
      </c>
      <c r="F108" s="14" t="s">
        <v>218</v>
      </c>
      <c r="G108" s="14" t="s">
        <v>218</v>
      </c>
      <c r="H108" s="14" t="s">
        <v>218</v>
      </c>
      <c r="I108" s="14" t="s">
        <v>101</v>
      </c>
      <c r="J108" s="14" t="s">
        <v>101</v>
      </c>
      <c r="K108" s="14" t="s">
        <v>101</v>
      </c>
      <c r="L108" s="14" t="s">
        <v>268</v>
      </c>
      <c r="M108" s="14" t="s">
        <v>799</v>
      </c>
      <c r="N108" s="14" t="s">
        <v>988</v>
      </c>
    </row>
    <row r="109" ht="15.75" customHeight="1">
      <c r="A109" s="14" t="s">
        <v>815</v>
      </c>
      <c r="B109" s="14" t="s">
        <v>69</v>
      </c>
      <c r="C109" s="14" t="s">
        <v>458</v>
      </c>
      <c r="D109" s="14" t="s">
        <v>848</v>
      </c>
      <c r="E109" s="14" t="s">
        <v>849</v>
      </c>
      <c r="F109" s="14" t="s">
        <v>218</v>
      </c>
      <c r="G109" s="14" t="s">
        <v>218</v>
      </c>
      <c r="H109" s="14" t="s">
        <v>218</v>
      </c>
      <c r="I109" s="14" t="s">
        <v>101</v>
      </c>
      <c r="J109" s="14" t="s">
        <v>101</v>
      </c>
      <c r="K109" s="14" t="s">
        <v>101</v>
      </c>
      <c r="L109" s="14" t="s">
        <v>268</v>
      </c>
      <c r="M109" s="14" t="s">
        <v>799</v>
      </c>
      <c r="N109" s="14" t="s">
        <v>988</v>
      </c>
    </row>
    <row r="110" ht="15.75" customHeight="1">
      <c r="A110" s="43"/>
      <c r="B110" s="43"/>
      <c r="C110" s="43"/>
      <c r="D110" s="43"/>
      <c r="E110" s="43"/>
      <c r="F110" s="43"/>
      <c r="G110" s="43"/>
      <c r="H110" s="43"/>
      <c r="I110" s="43"/>
      <c r="J110" s="43"/>
      <c r="K110" s="43"/>
      <c r="L110" s="43"/>
      <c r="M110" s="43"/>
      <c r="N110" s="43"/>
    </row>
    <row r="111" ht="15.75" customHeight="1">
      <c r="A111" s="14" t="s">
        <v>815</v>
      </c>
      <c r="B111" s="14" t="s">
        <v>69</v>
      </c>
      <c r="C111" s="14" t="s">
        <v>462</v>
      </c>
      <c r="D111" s="14" t="s">
        <v>795</v>
      </c>
      <c r="E111" s="14" t="s">
        <v>830</v>
      </c>
      <c r="F111" s="14" t="s">
        <v>218</v>
      </c>
      <c r="G111" s="14" t="s">
        <v>218</v>
      </c>
      <c r="H111" s="14" t="s">
        <v>218</v>
      </c>
      <c r="I111" s="14" t="s">
        <v>101</v>
      </c>
      <c r="J111" s="14" t="s">
        <v>101</v>
      </c>
      <c r="K111" s="14" t="s">
        <v>101</v>
      </c>
      <c r="L111" s="14" t="s">
        <v>268</v>
      </c>
      <c r="M111" s="14" t="s">
        <v>799</v>
      </c>
      <c r="N111" s="14" t="s">
        <v>988</v>
      </c>
    </row>
    <row r="112" ht="15.75" customHeight="1">
      <c r="A112" s="14" t="s">
        <v>815</v>
      </c>
      <c r="B112" s="14" t="s">
        <v>69</v>
      </c>
      <c r="C112" s="14" t="s">
        <v>462</v>
      </c>
      <c r="D112" s="14" t="s">
        <v>801</v>
      </c>
      <c r="E112" s="14" t="s">
        <v>994</v>
      </c>
      <c r="F112" s="14" t="s">
        <v>218</v>
      </c>
      <c r="G112" s="14" t="s">
        <v>218</v>
      </c>
      <c r="H112" s="14" t="s">
        <v>218</v>
      </c>
      <c r="I112" s="14" t="s">
        <v>101</v>
      </c>
      <c r="J112" s="14" t="s">
        <v>101</v>
      </c>
      <c r="K112" s="14" t="s">
        <v>101</v>
      </c>
      <c r="L112" s="14" t="s">
        <v>268</v>
      </c>
      <c r="M112" s="14" t="s">
        <v>799</v>
      </c>
      <c r="N112" s="14" t="s">
        <v>988</v>
      </c>
    </row>
    <row r="113" ht="15.75" customHeight="1">
      <c r="A113" s="14" t="s">
        <v>815</v>
      </c>
      <c r="B113" s="14" t="s">
        <v>69</v>
      </c>
      <c r="C113" s="14" t="s">
        <v>462</v>
      </c>
      <c r="D113" s="14" t="s">
        <v>805</v>
      </c>
      <c r="E113" s="14" t="s">
        <v>995</v>
      </c>
      <c r="F113" s="14" t="s">
        <v>218</v>
      </c>
      <c r="G113" s="14" t="s">
        <v>218</v>
      </c>
      <c r="H113" s="14" t="s">
        <v>218</v>
      </c>
      <c r="I113" s="14" t="s">
        <v>101</v>
      </c>
      <c r="J113" s="14" t="s">
        <v>101</v>
      </c>
      <c r="K113" s="14" t="s">
        <v>101</v>
      </c>
      <c r="L113" s="14" t="s">
        <v>268</v>
      </c>
      <c r="M113" s="14" t="s">
        <v>799</v>
      </c>
      <c r="N113" s="14" t="s">
        <v>988</v>
      </c>
    </row>
    <row r="114" ht="15.75" customHeight="1">
      <c r="A114" s="14" t="s">
        <v>815</v>
      </c>
      <c r="B114" s="14" t="s">
        <v>69</v>
      </c>
      <c r="C114" s="14" t="s">
        <v>462</v>
      </c>
      <c r="D114" s="14" t="s">
        <v>808</v>
      </c>
      <c r="E114" s="14" t="s">
        <v>996</v>
      </c>
      <c r="F114" s="14" t="s">
        <v>218</v>
      </c>
      <c r="G114" s="14" t="s">
        <v>218</v>
      </c>
      <c r="H114" s="14" t="s">
        <v>218</v>
      </c>
      <c r="I114" s="14" t="s">
        <v>101</v>
      </c>
      <c r="J114" s="14" t="s">
        <v>101</v>
      </c>
      <c r="K114" s="14" t="s">
        <v>101</v>
      </c>
      <c r="L114" s="14" t="s">
        <v>268</v>
      </c>
      <c r="M114" s="14" t="s">
        <v>799</v>
      </c>
      <c r="N114" s="14" t="s">
        <v>988</v>
      </c>
    </row>
    <row r="115" ht="15.75" customHeight="1">
      <c r="A115" s="14" t="s">
        <v>815</v>
      </c>
      <c r="B115" s="14" t="s">
        <v>69</v>
      </c>
      <c r="C115" s="14" t="s">
        <v>462</v>
      </c>
      <c r="D115" s="14" t="s">
        <v>812</v>
      </c>
      <c r="E115" s="14" t="s">
        <v>997</v>
      </c>
      <c r="F115" s="14" t="s">
        <v>218</v>
      </c>
      <c r="G115" s="14" t="s">
        <v>218</v>
      </c>
      <c r="H115" s="14" t="s">
        <v>218</v>
      </c>
      <c r="I115" s="14" t="s">
        <v>101</v>
      </c>
      <c r="J115" s="14" t="s">
        <v>101</v>
      </c>
      <c r="K115" s="14" t="s">
        <v>101</v>
      </c>
      <c r="L115" s="14" t="s">
        <v>268</v>
      </c>
      <c r="M115" s="14" t="s">
        <v>799</v>
      </c>
      <c r="N115" s="14" t="s">
        <v>988</v>
      </c>
    </row>
    <row r="116" ht="15.75" customHeight="1">
      <c r="A116" s="14" t="s">
        <v>815</v>
      </c>
      <c r="B116" s="14" t="s">
        <v>69</v>
      </c>
      <c r="C116" s="14" t="s">
        <v>462</v>
      </c>
      <c r="D116" s="14" t="s">
        <v>817</v>
      </c>
      <c r="E116" s="14" t="s">
        <v>998</v>
      </c>
      <c r="F116" s="14" t="s">
        <v>218</v>
      </c>
      <c r="G116" s="14" t="s">
        <v>218</v>
      </c>
      <c r="H116" s="14" t="s">
        <v>218</v>
      </c>
      <c r="I116" s="14" t="s">
        <v>101</v>
      </c>
      <c r="J116" s="14" t="s">
        <v>101</v>
      </c>
      <c r="K116" s="14" t="s">
        <v>101</v>
      </c>
      <c r="L116" s="14" t="s">
        <v>268</v>
      </c>
      <c r="M116" s="14" t="s">
        <v>799</v>
      </c>
      <c r="N116" s="14" t="s">
        <v>988</v>
      </c>
    </row>
    <row r="117" ht="15.75" customHeight="1">
      <c r="A117" s="14" t="s">
        <v>815</v>
      </c>
      <c r="B117" s="14" t="s">
        <v>69</v>
      </c>
      <c r="C117" s="14" t="s">
        <v>462</v>
      </c>
      <c r="D117" s="14" t="s">
        <v>848</v>
      </c>
      <c r="E117" s="14" t="s">
        <v>849</v>
      </c>
      <c r="F117" s="14" t="s">
        <v>218</v>
      </c>
      <c r="G117" s="14" t="s">
        <v>218</v>
      </c>
      <c r="H117" s="14" t="s">
        <v>218</v>
      </c>
      <c r="I117" s="14" t="s">
        <v>101</v>
      </c>
      <c r="J117" s="14" t="s">
        <v>101</v>
      </c>
      <c r="K117" s="14" t="s">
        <v>101</v>
      </c>
      <c r="L117" s="14" t="s">
        <v>268</v>
      </c>
      <c r="M117" s="14" t="s">
        <v>799</v>
      </c>
      <c r="N117" s="14" t="s">
        <v>988</v>
      </c>
    </row>
    <row r="118" ht="15.75" customHeight="1">
      <c r="A118" s="43"/>
      <c r="B118" s="43"/>
      <c r="C118" s="43"/>
      <c r="D118" s="43"/>
      <c r="E118" s="43"/>
      <c r="F118" s="43"/>
      <c r="G118" s="43"/>
      <c r="H118" s="43"/>
      <c r="I118" s="43"/>
      <c r="J118" s="43"/>
      <c r="K118" s="43"/>
      <c r="L118" s="43"/>
      <c r="M118" s="43"/>
      <c r="N118" s="43"/>
    </row>
    <row r="119" ht="15.75" customHeight="1">
      <c r="A119" s="14" t="s">
        <v>815</v>
      </c>
      <c r="B119" s="14" t="s">
        <v>69</v>
      </c>
      <c r="C119" s="14" t="s">
        <v>464</v>
      </c>
      <c r="D119" s="14" t="s">
        <v>795</v>
      </c>
      <c r="E119" s="14" t="s">
        <v>830</v>
      </c>
      <c r="F119" s="14" t="s">
        <v>218</v>
      </c>
      <c r="G119" s="14" t="s">
        <v>218</v>
      </c>
      <c r="H119" s="14" t="s">
        <v>218</v>
      </c>
      <c r="I119" s="14" t="s">
        <v>101</v>
      </c>
      <c r="J119" s="14" t="s">
        <v>101</v>
      </c>
      <c r="K119" s="14" t="s">
        <v>101</v>
      </c>
      <c r="L119" s="14" t="s">
        <v>268</v>
      </c>
      <c r="M119" s="14" t="s">
        <v>799</v>
      </c>
      <c r="N119" s="14" t="s">
        <v>988</v>
      </c>
    </row>
    <row r="120" ht="15.75" customHeight="1">
      <c r="A120" s="14" t="s">
        <v>815</v>
      </c>
      <c r="B120" s="14" t="s">
        <v>69</v>
      </c>
      <c r="C120" s="14" t="s">
        <v>464</v>
      </c>
      <c r="D120" s="14" t="s">
        <v>801</v>
      </c>
      <c r="E120" s="14" t="s">
        <v>994</v>
      </c>
      <c r="F120" s="14" t="s">
        <v>218</v>
      </c>
      <c r="G120" s="14" t="s">
        <v>218</v>
      </c>
      <c r="H120" s="14" t="s">
        <v>218</v>
      </c>
      <c r="I120" s="14" t="s">
        <v>101</v>
      </c>
      <c r="J120" s="14" t="s">
        <v>101</v>
      </c>
      <c r="K120" s="14" t="s">
        <v>101</v>
      </c>
      <c r="L120" s="14" t="s">
        <v>268</v>
      </c>
      <c r="M120" s="14" t="s">
        <v>799</v>
      </c>
      <c r="N120" s="14" t="s">
        <v>988</v>
      </c>
    </row>
    <row r="121" ht="15.75" customHeight="1">
      <c r="A121" s="14" t="s">
        <v>815</v>
      </c>
      <c r="B121" s="14" t="s">
        <v>69</v>
      </c>
      <c r="C121" s="14" t="s">
        <v>464</v>
      </c>
      <c r="D121" s="14" t="s">
        <v>805</v>
      </c>
      <c r="E121" s="14" t="s">
        <v>995</v>
      </c>
      <c r="F121" s="14" t="s">
        <v>218</v>
      </c>
      <c r="G121" s="14" t="s">
        <v>218</v>
      </c>
      <c r="H121" s="14" t="s">
        <v>218</v>
      </c>
      <c r="I121" s="14" t="s">
        <v>101</v>
      </c>
      <c r="J121" s="14" t="s">
        <v>101</v>
      </c>
      <c r="K121" s="14" t="s">
        <v>101</v>
      </c>
      <c r="L121" s="14" t="s">
        <v>268</v>
      </c>
      <c r="M121" s="14" t="s">
        <v>799</v>
      </c>
      <c r="N121" s="14" t="s">
        <v>988</v>
      </c>
    </row>
    <row r="122" ht="15.75" customHeight="1">
      <c r="A122" s="14" t="s">
        <v>815</v>
      </c>
      <c r="B122" s="14" t="s">
        <v>69</v>
      </c>
      <c r="C122" s="14" t="s">
        <v>464</v>
      </c>
      <c r="D122" s="14" t="s">
        <v>808</v>
      </c>
      <c r="E122" s="14" t="s">
        <v>996</v>
      </c>
      <c r="F122" s="14" t="s">
        <v>218</v>
      </c>
      <c r="G122" s="14" t="s">
        <v>218</v>
      </c>
      <c r="H122" s="14" t="s">
        <v>218</v>
      </c>
      <c r="I122" s="14" t="s">
        <v>101</v>
      </c>
      <c r="J122" s="14" t="s">
        <v>101</v>
      </c>
      <c r="K122" s="14" t="s">
        <v>101</v>
      </c>
      <c r="L122" s="14" t="s">
        <v>268</v>
      </c>
      <c r="M122" s="14" t="s">
        <v>799</v>
      </c>
      <c r="N122" s="14" t="s">
        <v>988</v>
      </c>
    </row>
    <row r="123" ht="15.75" customHeight="1">
      <c r="A123" s="14" t="s">
        <v>815</v>
      </c>
      <c r="B123" s="14" t="s">
        <v>69</v>
      </c>
      <c r="C123" s="14" t="s">
        <v>464</v>
      </c>
      <c r="D123" s="14" t="s">
        <v>812</v>
      </c>
      <c r="E123" s="14" t="s">
        <v>997</v>
      </c>
      <c r="F123" s="14" t="s">
        <v>218</v>
      </c>
      <c r="G123" s="14" t="s">
        <v>218</v>
      </c>
      <c r="H123" s="14" t="s">
        <v>218</v>
      </c>
      <c r="I123" s="14" t="s">
        <v>101</v>
      </c>
      <c r="J123" s="14" t="s">
        <v>101</v>
      </c>
      <c r="K123" s="14" t="s">
        <v>101</v>
      </c>
      <c r="L123" s="14" t="s">
        <v>268</v>
      </c>
      <c r="M123" s="14" t="s">
        <v>799</v>
      </c>
      <c r="N123" s="14" t="s">
        <v>988</v>
      </c>
    </row>
    <row r="124" ht="15.75" customHeight="1">
      <c r="A124" s="14" t="s">
        <v>815</v>
      </c>
      <c r="B124" s="14" t="s">
        <v>69</v>
      </c>
      <c r="C124" s="14" t="s">
        <v>464</v>
      </c>
      <c r="D124" s="14" t="s">
        <v>817</v>
      </c>
      <c r="E124" s="14" t="s">
        <v>998</v>
      </c>
      <c r="F124" s="14" t="s">
        <v>218</v>
      </c>
      <c r="G124" s="14" t="s">
        <v>218</v>
      </c>
      <c r="H124" s="14" t="s">
        <v>218</v>
      </c>
      <c r="I124" s="14" t="s">
        <v>101</v>
      </c>
      <c r="J124" s="14" t="s">
        <v>101</v>
      </c>
      <c r="K124" s="14" t="s">
        <v>101</v>
      </c>
      <c r="L124" s="14" t="s">
        <v>268</v>
      </c>
      <c r="M124" s="14" t="s">
        <v>799</v>
      </c>
      <c r="N124" s="14" t="s">
        <v>988</v>
      </c>
    </row>
    <row r="125" ht="15.75" customHeight="1">
      <c r="A125" s="14" t="s">
        <v>815</v>
      </c>
      <c r="B125" s="14" t="s">
        <v>69</v>
      </c>
      <c r="C125" s="14" t="s">
        <v>464</v>
      </c>
      <c r="D125" s="14" t="s">
        <v>848</v>
      </c>
      <c r="E125" s="14" t="s">
        <v>849</v>
      </c>
      <c r="F125" s="14" t="s">
        <v>218</v>
      </c>
      <c r="G125" s="14" t="s">
        <v>218</v>
      </c>
      <c r="H125" s="14" t="s">
        <v>218</v>
      </c>
      <c r="I125" s="14" t="s">
        <v>101</v>
      </c>
      <c r="J125" s="14" t="s">
        <v>101</v>
      </c>
      <c r="K125" s="14" t="s">
        <v>101</v>
      </c>
      <c r="L125" s="14" t="s">
        <v>268</v>
      </c>
      <c r="M125" s="14" t="s">
        <v>799</v>
      </c>
      <c r="N125" s="14" t="s">
        <v>988</v>
      </c>
    </row>
    <row r="126" ht="15.75" customHeight="1">
      <c r="A126" s="43"/>
      <c r="B126" s="43"/>
      <c r="C126" s="43"/>
      <c r="D126" s="43"/>
      <c r="E126" s="43"/>
      <c r="F126" s="43"/>
      <c r="G126" s="43"/>
      <c r="H126" s="43"/>
      <c r="I126" s="43"/>
      <c r="J126" s="43"/>
      <c r="K126" s="43"/>
      <c r="L126" s="43"/>
      <c r="M126" s="43"/>
      <c r="N126" s="43"/>
    </row>
    <row r="127" ht="15.75" customHeight="1">
      <c r="A127" s="14" t="s">
        <v>815</v>
      </c>
      <c r="B127" s="14" t="s">
        <v>76</v>
      </c>
      <c r="C127" s="14" t="s">
        <v>458</v>
      </c>
      <c r="D127" s="14" t="s">
        <v>795</v>
      </c>
      <c r="E127" s="14" t="s">
        <v>1026</v>
      </c>
      <c r="F127" s="14" t="s">
        <v>218</v>
      </c>
      <c r="G127" s="14" t="s">
        <v>218</v>
      </c>
      <c r="H127" s="14" t="s">
        <v>218</v>
      </c>
      <c r="I127" s="14" t="s">
        <v>101</v>
      </c>
      <c r="J127" s="14" t="s">
        <v>101</v>
      </c>
      <c r="K127" s="14" t="s">
        <v>101</v>
      </c>
      <c r="L127" s="14" t="s">
        <v>268</v>
      </c>
      <c r="M127" s="14" t="s">
        <v>799</v>
      </c>
      <c r="N127" s="14" t="s">
        <v>988</v>
      </c>
    </row>
    <row r="128" ht="15.75" customHeight="1">
      <c r="A128" s="14" t="s">
        <v>815</v>
      </c>
      <c r="B128" s="14" t="s">
        <v>76</v>
      </c>
      <c r="C128" s="14" t="s">
        <v>458</v>
      </c>
      <c r="D128" s="14" t="s">
        <v>801</v>
      </c>
      <c r="E128" s="14" t="s">
        <v>1027</v>
      </c>
      <c r="F128" s="14" t="s">
        <v>218</v>
      </c>
      <c r="G128" s="14" t="s">
        <v>218</v>
      </c>
      <c r="H128" s="14" t="s">
        <v>218</v>
      </c>
      <c r="I128" s="14" t="s">
        <v>101</v>
      </c>
      <c r="J128" s="14" t="s">
        <v>101</v>
      </c>
      <c r="K128" s="14" t="s">
        <v>101</v>
      </c>
      <c r="L128" s="14" t="s">
        <v>268</v>
      </c>
      <c r="M128" s="14" t="s">
        <v>799</v>
      </c>
      <c r="N128" s="14" t="s">
        <v>988</v>
      </c>
    </row>
    <row r="129" ht="15.75" customHeight="1">
      <c r="A129" s="14" t="s">
        <v>815</v>
      </c>
      <c r="B129" s="14" t="s">
        <v>76</v>
      </c>
      <c r="C129" s="14" t="s">
        <v>458</v>
      </c>
      <c r="D129" s="14" t="s">
        <v>805</v>
      </c>
      <c r="E129" s="14" t="s">
        <v>1030</v>
      </c>
      <c r="F129" s="14" t="s">
        <v>218</v>
      </c>
      <c r="G129" s="14" t="s">
        <v>218</v>
      </c>
      <c r="H129" s="14" t="s">
        <v>218</v>
      </c>
      <c r="I129" s="14" t="s">
        <v>101</v>
      </c>
      <c r="J129" s="14" t="s">
        <v>101</v>
      </c>
      <c r="K129" s="14" t="s">
        <v>101</v>
      </c>
      <c r="L129" s="14" t="s">
        <v>268</v>
      </c>
      <c r="M129" s="14" t="s">
        <v>799</v>
      </c>
      <c r="N129" s="14" t="s">
        <v>988</v>
      </c>
    </row>
    <row r="130" ht="15.75" customHeight="1">
      <c r="A130" s="14" t="s">
        <v>815</v>
      </c>
      <c r="B130" s="14" t="s">
        <v>76</v>
      </c>
      <c r="C130" s="14" t="s">
        <v>458</v>
      </c>
      <c r="D130" s="14" t="s">
        <v>808</v>
      </c>
      <c r="E130" s="14" t="s">
        <v>966</v>
      </c>
      <c r="F130" s="14" t="s">
        <v>218</v>
      </c>
      <c r="G130" s="14" t="s">
        <v>218</v>
      </c>
      <c r="H130" s="14" t="s">
        <v>218</v>
      </c>
      <c r="I130" s="14" t="s">
        <v>101</v>
      </c>
      <c r="J130" s="14" t="s">
        <v>101</v>
      </c>
      <c r="K130" s="14" t="s">
        <v>101</v>
      </c>
      <c r="L130" s="14" t="s">
        <v>268</v>
      </c>
      <c r="M130" s="14" t="s">
        <v>799</v>
      </c>
      <c r="N130" s="14" t="s">
        <v>988</v>
      </c>
    </row>
    <row r="131" ht="15.75" customHeight="1">
      <c r="A131" s="14" t="s">
        <v>815</v>
      </c>
      <c r="B131" s="14" t="s">
        <v>76</v>
      </c>
      <c r="C131" s="14" t="s">
        <v>458</v>
      </c>
      <c r="D131" s="14" t="s">
        <v>812</v>
      </c>
      <c r="E131" s="14" t="s">
        <v>970</v>
      </c>
      <c r="F131" s="14" t="s">
        <v>218</v>
      </c>
      <c r="G131" s="14" t="s">
        <v>218</v>
      </c>
      <c r="H131" s="14" t="s">
        <v>218</v>
      </c>
      <c r="I131" s="14" t="s">
        <v>101</v>
      </c>
      <c r="J131" s="14" t="s">
        <v>101</v>
      </c>
      <c r="K131" s="14" t="s">
        <v>101</v>
      </c>
      <c r="L131" s="14" t="s">
        <v>268</v>
      </c>
      <c r="M131" s="14" t="s">
        <v>799</v>
      </c>
      <c r="N131" s="14" t="s">
        <v>988</v>
      </c>
    </row>
    <row r="132" ht="15.75" customHeight="1">
      <c r="A132" s="14" t="s">
        <v>815</v>
      </c>
      <c r="B132" s="14" t="s">
        <v>76</v>
      </c>
      <c r="C132" s="14" t="s">
        <v>458</v>
      </c>
      <c r="D132" s="14" t="s">
        <v>817</v>
      </c>
      <c r="E132" s="14" t="s">
        <v>1032</v>
      </c>
      <c r="F132" s="14" t="s">
        <v>218</v>
      </c>
      <c r="G132" s="14" t="s">
        <v>218</v>
      </c>
      <c r="H132" s="14" t="s">
        <v>218</v>
      </c>
      <c r="I132" s="14" t="s">
        <v>101</v>
      </c>
      <c r="J132" s="14" t="s">
        <v>101</v>
      </c>
      <c r="K132" s="14" t="s">
        <v>101</v>
      </c>
      <c r="L132" s="14" t="s">
        <v>268</v>
      </c>
      <c r="M132" s="14" t="s">
        <v>799</v>
      </c>
      <c r="N132" s="14" t="s">
        <v>988</v>
      </c>
    </row>
    <row r="133" ht="15.75" customHeight="1">
      <c r="A133" s="14" t="s">
        <v>815</v>
      </c>
      <c r="B133" s="14" t="s">
        <v>76</v>
      </c>
      <c r="C133" s="14" t="s">
        <v>458</v>
      </c>
      <c r="D133" s="14" t="s">
        <v>848</v>
      </c>
      <c r="E133" s="14" t="s">
        <v>1035</v>
      </c>
      <c r="F133" s="14" t="s">
        <v>218</v>
      </c>
      <c r="G133" s="14" t="s">
        <v>218</v>
      </c>
      <c r="H133" s="14" t="s">
        <v>218</v>
      </c>
      <c r="I133" s="14" t="s">
        <v>101</v>
      </c>
      <c r="J133" s="14" t="s">
        <v>101</v>
      </c>
      <c r="K133" s="14" t="s">
        <v>101</v>
      </c>
      <c r="L133" s="14" t="s">
        <v>268</v>
      </c>
      <c r="M133" s="14" t="s">
        <v>799</v>
      </c>
      <c r="N133" s="14" t="s">
        <v>988</v>
      </c>
    </row>
    <row r="134" ht="15.75" customHeight="1">
      <c r="A134" s="14" t="s">
        <v>815</v>
      </c>
      <c r="B134" s="14" t="s">
        <v>76</v>
      </c>
      <c r="C134" s="14" t="s">
        <v>458</v>
      </c>
      <c r="D134" s="14" t="s">
        <v>886</v>
      </c>
      <c r="E134" s="14" t="s">
        <v>1036</v>
      </c>
      <c r="F134" s="14" t="s">
        <v>218</v>
      </c>
      <c r="G134" s="14" t="s">
        <v>218</v>
      </c>
      <c r="H134" s="14" t="s">
        <v>218</v>
      </c>
      <c r="I134" s="14" t="s">
        <v>101</v>
      </c>
      <c r="J134" s="14" t="s">
        <v>101</v>
      </c>
      <c r="K134" s="14" t="s">
        <v>101</v>
      </c>
      <c r="L134" s="14" t="s">
        <v>268</v>
      </c>
      <c r="M134" s="14" t="s">
        <v>799</v>
      </c>
      <c r="N134" s="14" t="s">
        <v>988</v>
      </c>
    </row>
    <row r="135" ht="15.75" customHeight="1">
      <c r="A135" s="43"/>
      <c r="B135" s="43"/>
      <c r="C135" s="43"/>
      <c r="D135" s="43"/>
      <c r="E135" s="43"/>
      <c r="F135" s="43"/>
      <c r="G135" s="43"/>
      <c r="H135" s="43"/>
      <c r="I135" s="43"/>
      <c r="J135" s="43"/>
      <c r="K135" s="43"/>
      <c r="L135" s="43"/>
      <c r="M135" s="43"/>
      <c r="N135" s="43"/>
    </row>
    <row r="136" ht="15.75" customHeight="1">
      <c r="A136" s="14" t="s">
        <v>815</v>
      </c>
      <c r="B136" s="14" t="s">
        <v>76</v>
      </c>
      <c r="C136" s="14" t="s">
        <v>462</v>
      </c>
      <c r="D136" s="14" t="s">
        <v>795</v>
      </c>
      <c r="E136" s="14" t="s">
        <v>1026</v>
      </c>
      <c r="F136" s="14" t="s">
        <v>218</v>
      </c>
      <c r="G136" s="14" t="s">
        <v>218</v>
      </c>
      <c r="H136" s="14" t="s">
        <v>218</v>
      </c>
      <c r="I136" s="14" t="s">
        <v>101</v>
      </c>
      <c r="J136" s="14" t="s">
        <v>101</v>
      </c>
      <c r="K136" s="14" t="s">
        <v>101</v>
      </c>
      <c r="L136" s="14" t="s">
        <v>268</v>
      </c>
      <c r="M136" s="14" t="s">
        <v>799</v>
      </c>
      <c r="N136" s="14" t="s">
        <v>988</v>
      </c>
    </row>
    <row r="137" ht="15.75" customHeight="1">
      <c r="A137" s="14" t="s">
        <v>815</v>
      </c>
      <c r="B137" s="14" t="s">
        <v>76</v>
      </c>
      <c r="C137" s="14" t="s">
        <v>462</v>
      </c>
      <c r="D137" s="14" t="s">
        <v>801</v>
      </c>
      <c r="E137" s="14" t="s">
        <v>1027</v>
      </c>
      <c r="F137" s="14" t="s">
        <v>218</v>
      </c>
      <c r="G137" s="14" t="s">
        <v>218</v>
      </c>
      <c r="H137" s="14" t="s">
        <v>218</v>
      </c>
      <c r="I137" s="14" t="s">
        <v>101</v>
      </c>
      <c r="J137" s="14" t="s">
        <v>101</v>
      </c>
      <c r="K137" s="14" t="s">
        <v>101</v>
      </c>
      <c r="L137" s="14" t="s">
        <v>268</v>
      </c>
      <c r="M137" s="14" t="s">
        <v>799</v>
      </c>
      <c r="N137" s="14" t="s">
        <v>988</v>
      </c>
    </row>
    <row r="138" ht="15.75" customHeight="1">
      <c r="A138" s="14" t="s">
        <v>815</v>
      </c>
      <c r="B138" s="14" t="s">
        <v>76</v>
      </c>
      <c r="C138" s="14" t="s">
        <v>462</v>
      </c>
      <c r="D138" s="14" t="s">
        <v>805</v>
      </c>
      <c r="E138" s="14" t="s">
        <v>1030</v>
      </c>
      <c r="F138" s="14" t="s">
        <v>218</v>
      </c>
      <c r="G138" s="14" t="s">
        <v>218</v>
      </c>
      <c r="H138" s="14" t="s">
        <v>218</v>
      </c>
      <c r="I138" s="14" t="s">
        <v>101</v>
      </c>
      <c r="J138" s="14" t="s">
        <v>101</v>
      </c>
      <c r="K138" s="14" t="s">
        <v>101</v>
      </c>
      <c r="L138" s="14" t="s">
        <v>268</v>
      </c>
      <c r="M138" s="14" t="s">
        <v>799</v>
      </c>
      <c r="N138" s="14" t="s">
        <v>988</v>
      </c>
    </row>
    <row r="139" ht="15.75" customHeight="1">
      <c r="A139" s="14" t="s">
        <v>815</v>
      </c>
      <c r="B139" s="14" t="s">
        <v>76</v>
      </c>
      <c r="C139" s="14" t="s">
        <v>462</v>
      </c>
      <c r="D139" s="14" t="s">
        <v>808</v>
      </c>
      <c r="E139" s="14" t="s">
        <v>966</v>
      </c>
      <c r="F139" s="14" t="s">
        <v>218</v>
      </c>
      <c r="G139" s="14" t="s">
        <v>218</v>
      </c>
      <c r="H139" s="14" t="s">
        <v>218</v>
      </c>
      <c r="I139" s="14" t="s">
        <v>101</v>
      </c>
      <c r="J139" s="14" t="s">
        <v>101</v>
      </c>
      <c r="K139" s="14" t="s">
        <v>101</v>
      </c>
      <c r="L139" s="14" t="s">
        <v>268</v>
      </c>
      <c r="M139" s="14" t="s">
        <v>799</v>
      </c>
      <c r="N139" s="14" t="s">
        <v>988</v>
      </c>
    </row>
    <row r="140" ht="15.75" customHeight="1">
      <c r="A140" s="14" t="s">
        <v>815</v>
      </c>
      <c r="B140" s="14" t="s">
        <v>76</v>
      </c>
      <c r="C140" s="14" t="s">
        <v>462</v>
      </c>
      <c r="D140" s="14" t="s">
        <v>812</v>
      </c>
      <c r="E140" s="14" t="s">
        <v>970</v>
      </c>
      <c r="F140" s="14" t="s">
        <v>218</v>
      </c>
      <c r="G140" s="14" t="s">
        <v>218</v>
      </c>
      <c r="H140" s="14" t="s">
        <v>218</v>
      </c>
      <c r="I140" s="14" t="s">
        <v>101</v>
      </c>
      <c r="J140" s="14" t="s">
        <v>101</v>
      </c>
      <c r="K140" s="14" t="s">
        <v>101</v>
      </c>
      <c r="L140" s="14" t="s">
        <v>268</v>
      </c>
      <c r="M140" s="14" t="s">
        <v>799</v>
      </c>
      <c r="N140" s="14" t="s">
        <v>988</v>
      </c>
    </row>
    <row r="141" ht="15.75" customHeight="1">
      <c r="A141" s="14" t="s">
        <v>815</v>
      </c>
      <c r="B141" s="14" t="s">
        <v>76</v>
      </c>
      <c r="C141" s="14" t="s">
        <v>462</v>
      </c>
      <c r="D141" s="14" t="s">
        <v>817</v>
      </c>
      <c r="E141" s="14" t="s">
        <v>1032</v>
      </c>
      <c r="F141" s="14" t="s">
        <v>218</v>
      </c>
      <c r="G141" s="14" t="s">
        <v>218</v>
      </c>
      <c r="H141" s="14" t="s">
        <v>218</v>
      </c>
      <c r="I141" s="14" t="s">
        <v>101</v>
      </c>
      <c r="J141" s="14" t="s">
        <v>101</v>
      </c>
      <c r="K141" s="14" t="s">
        <v>101</v>
      </c>
      <c r="L141" s="14" t="s">
        <v>268</v>
      </c>
      <c r="M141" s="14" t="s">
        <v>799</v>
      </c>
      <c r="N141" s="14" t="s">
        <v>988</v>
      </c>
    </row>
    <row r="142" ht="15.75" customHeight="1">
      <c r="A142" s="14" t="s">
        <v>815</v>
      </c>
      <c r="B142" s="14" t="s">
        <v>76</v>
      </c>
      <c r="C142" s="14" t="s">
        <v>462</v>
      </c>
      <c r="D142" s="14" t="s">
        <v>848</v>
      </c>
      <c r="E142" s="14" t="s">
        <v>1035</v>
      </c>
      <c r="F142" s="14" t="s">
        <v>218</v>
      </c>
      <c r="G142" s="14" t="s">
        <v>218</v>
      </c>
      <c r="H142" s="14" t="s">
        <v>218</v>
      </c>
      <c r="I142" s="14" t="s">
        <v>101</v>
      </c>
      <c r="J142" s="14" t="s">
        <v>101</v>
      </c>
      <c r="K142" s="14" t="s">
        <v>101</v>
      </c>
      <c r="L142" s="14" t="s">
        <v>268</v>
      </c>
      <c r="M142" s="14" t="s">
        <v>799</v>
      </c>
      <c r="N142" s="14" t="s">
        <v>988</v>
      </c>
    </row>
    <row r="143" ht="15.75" customHeight="1">
      <c r="A143" s="14" t="s">
        <v>815</v>
      </c>
      <c r="B143" s="14" t="s">
        <v>76</v>
      </c>
      <c r="C143" s="14" t="s">
        <v>462</v>
      </c>
      <c r="D143" s="14" t="s">
        <v>886</v>
      </c>
      <c r="E143" s="14" t="s">
        <v>1036</v>
      </c>
      <c r="F143" s="14" t="s">
        <v>218</v>
      </c>
      <c r="G143" s="14" t="s">
        <v>218</v>
      </c>
      <c r="H143" s="14" t="s">
        <v>218</v>
      </c>
      <c r="I143" s="14" t="s">
        <v>101</v>
      </c>
      <c r="J143" s="14" t="s">
        <v>101</v>
      </c>
      <c r="K143" s="14" t="s">
        <v>101</v>
      </c>
      <c r="L143" s="14" t="s">
        <v>268</v>
      </c>
      <c r="M143" s="14" t="s">
        <v>799</v>
      </c>
      <c r="N143" s="14" t="s">
        <v>988</v>
      </c>
    </row>
    <row r="144" ht="15.75" customHeight="1">
      <c r="A144" s="43"/>
      <c r="B144" s="43"/>
      <c r="C144" s="43"/>
      <c r="D144" s="43"/>
      <c r="E144" s="43"/>
      <c r="F144" s="43"/>
      <c r="G144" s="43"/>
      <c r="H144" s="43"/>
      <c r="I144" s="43"/>
      <c r="J144" s="43"/>
      <c r="K144" s="43"/>
      <c r="L144" s="43"/>
      <c r="M144" s="43"/>
      <c r="N144" s="43"/>
    </row>
    <row r="145" ht="15.75" customHeight="1">
      <c r="A145" s="14" t="s">
        <v>815</v>
      </c>
      <c r="B145" s="14" t="s">
        <v>76</v>
      </c>
      <c r="C145" s="14" t="s">
        <v>464</v>
      </c>
      <c r="D145" s="14" t="s">
        <v>795</v>
      </c>
      <c r="E145" s="14" t="s">
        <v>1026</v>
      </c>
      <c r="F145" s="14" t="s">
        <v>218</v>
      </c>
      <c r="G145" s="14" t="s">
        <v>218</v>
      </c>
      <c r="H145" s="14" t="s">
        <v>218</v>
      </c>
      <c r="I145" s="14" t="s">
        <v>101</v>
      </c>
      <c r="J145" s="14" t="s">
        <v>101</v>
      </c>
      <c r="K145" s="14" t="s">
        <v>101</v>
      </c>
      <c r="L145" s="14" t="s">
        <v>268</v>
      </c>
      <c r="M145" s="14" t="s">
        <v>799</v>
      </c>
      <c r="N145" s="14" t="s">
        <v>988</v>
      </c>
    </row>
    <row r="146" ht="15.75" customHeight="1">
      <c r="A146" s="14" t="s">
        <v>815</v>
      </c>
      <c r="B146" s="14" t="s">
        <v>76</v>
      </c>
      <c r="C146" s="14" t="s">
        <v>464</v>
      </c>
      <c r="D146" s="14" t="s">
        <v>801</v>
      </c>
      <c r="E146" s="14" t="s">
        <v>1027</v>
      </c>
      <c r="F146" s="14" t="s">
        <v>218</v>
      </c>
      <c r="G146" s="14" t="s">
        <v>218</v>
      </c>
      <c r="H146" s="14" t="s">
        <v>218</v>
      </c>
      <c r="I146" s="14" t="s">
        <v>101</v>
      </c>
      <c r="J146" s="14" t="s">
        <v>101</v>
      </c>
      <c r="K146" s="14" t="s">
        <v>101</v>
      </c>
      <c r="L146" s="14" t="s">
        <v>268</v>
      </c>
      <c r="M146" s="14" t="s">
        <v>799</v>
      </c>
      <c r="N146" s="14" t="s">
        <v>988</v>
      </c>
    </row>
    <row r="147" ht="15.75" customHeight="1">
      <c r="A147" s="14" t="s">
        <v>815</v>
      </c>
      <c r="B147" s="14" t="s">
        <v>76</v>
      </c>
      <c r="C147" s="14" t="s">
        <v>464</v>
      </c>
      <c r="D147" s="14" t="s">
        <v>805</v>
      </c>
      <c r="E147" s="14" t="s">
        <v>1030</v>
      </c>
      <c r="F147" s="14" t="s">
        <v>218</v>
      </c>
      <c r="G147" s="14" t="s">
        <v>218</v>
      </c>
      <c r="H147" s="14" t="s">
        <v>218</v>
      </c>
      <c r="I147" s="14" t="s">
        <v>101</v>
      </c>
      <c r="J147" s="14" t="s">
        <v>101</v>
      </c>
      <c r="K147" s="14" t="s">
        <v>101</v>
      </c>
      <c r="L147" s="14" t="s">
        <v>268</v>
      </c>
      <c r="M147" s="14" t="s">
        <v>799</v>
      </c>
      <c r="N147" s="14" t="s">
        <v>988</v>
      </c>
    </row>
    <row r="148" ht="15.75" customHeight="1">
      <c r="A148" s="14" t="s">
        <v>815</v>
      </c>
      <c r="B148" s="14" t="s">
        <v>76</v>
      </c>
      <c r="C148" s="14" t="s">
        <v>464</v>
      </c>
      <c r="D148" s="14" t="s">
        <v>808</v>
      </c>
      <c r="E148" s="14" t="s">
        <v>966</v>
      </c>
      <c r="F148" s="14" t="s">
        <v>218</v>
      </c>
      <c r="G148" s="14" t="s">
        <v>218</v>
      </c>
      <c r="H148" s="14" t="s">
        <v>218</v>
      </c>
      <c r="I148" s="14" t="s">
        <v>101</v>
      </c>
      <c r="J148" s="14" t="s">
        <v>101</v>
      </c>
      <c r="K148" s="14" t="s">
        <v>101</v>
      </c>
      <c r="L148" s="14" t="s">
        <v>268</v>
      </c>
      <c r="M148" s="14" t="s">
        <v>799</v>
      </c>
      <c r="N148" s="14" t="s">
        <v>988</v>
      </c>
    </row>
    <row r="149" ht="15.75" customHeight="1">
      <c r="A149" s="14" t="s">
        <v>815</v>
      </c>
      <c r="B149" s="14" t="s">
        <v>76</v>
      </c>
      <c r="C149" s="14" t="s">
        <v>464</v>
      </c>
      <c r="D149" s="14" t="s">
        <v>812</v>
      </c>
      <c r="E149" s="14" t="s">
        <v>970</v>
      </c>
      <c r="F149" s="14" t="s">
        <v>218</v>
      </c>
      <c r="G149" s="14" t="s">
        <v>218</v>
      </c>
      <c r="H149" s="14" t="s">
        <v>218</v>
      </c>
      <c r="I149" s="14" t="s">
        <v>101</v>
      </c>
      <c r="J149" s="14" t="s">
        <v>101</v>
      </c>
      <c r="K149" s="14" t="s">
        <v>101</v>
      </c>
      <c r="L149" s="14" t="s">
        <v>268</v>
      </c>
      <c r="M149" s="14" t="s">
        <v>799</v>
      </c>
      <c r="N149" s="14" t="s">
        <v>988</v>
      </c>
    </row>
    <row r="150" ht="15.75" customHeight="1">
      <c r="A150" s="14" t="s">
        <v>815</v>
      </c>
      <c r="B150" s="14" t="s">
        <v>76</v>
      </c>
      <c r="C150" s="14" t="s">
        <v>464</v>
      </c>
      <c r="D150" s="14" t="s">
        <v>817</v>
      </c>
      <c r="E150" s="14" t="s">
        <v>1032</v>
      </c>
      <c r="F150" s="14" t="s">
        <v>218</v>
      </c>
      <c r="G150" s="14" t="s">
        <v>218</v>
      </c>
      <c r="H150" s="14" t="s">
        <v>218</v>
      </c>
      <c r="I150" s="14" t="s">
        <v>101</v>
      </c>
      <c r="J150" s="14" t="s">
        <v>101</v>
      </c>
      <c r="K150" s="14" t="s">
        <v>101</v>
      </c>
      <c r="L150" s="14" t="s">
        <v>268</v>
      </c>
      <c r="M150" s="14" t="s">
        <v>799</v>
      </c>
      <c r="N150" s="14" t="s">
        <v>988</v>
      </c>
    </row>
    <row r="151" ht="15.75" customHeight="1">
      <c r="A151" s="14" t="s">
        <v>815</v>
      </c>
      <c r="B151" s="14" t="s">
        <v>76</v>
      </c>
      <c r="C151" s="14" t="s">
        <v>464</v>
      </c>
      <c r="D151" s="14" t="s">
        <v>848</v>
      </c>
      <c r="E151" s="14" t="s">
        <v>1035</v>
      </c>
      <c r="F151" s="14" t="s">
        <v>218</v>
      </c>
      <c r="G151" s="14" t="s">
        <v>218</v>
      </c>
      <c r="H151" s="14" t="s">
        <v>218</v>
      </c>
      <c r="I151" s="14" t="s">
        <v>101</v>
      </c>
      <c r="J151" s="14" t="s">
        <v>101</v>
      </c>
      <c r="K151" s="14" t="s">
        <v>101</v>
      </c>
      <c r="L151" s="14" t="s">
        <v>268</v>
      </c>
      <c r="M151" s="14" t="s">
        <v>799</v>
      </c>
      <c r="N151" s="14" t="s">
        <v>988</v>
      </c>
    </row>
    <row r="152" ht="15.75" customHeight="1">
      <c r="A152" s="14" t="s">
        <v>815</v>
      </c>
      <c r="B152" s="14" t="s">
        <v>76</v>
      </c>
      <c r="C152" s="14" t="s">
        <v>464</v>
      </c>
      <c r="D152" s="14" t="s">
        <v>886</v>
      </c>
      <c r="E152" s="14" t="s">
        <v>1036</v>
      </c>
      <c r="F152" s="14" t="s">
        <v>218</v>
      </c>
      <c r="G152" s="14" t="s">
        <v>218</v>
      </c>
      <c r="H152" s="14" t="s">
        <v>218</v>
      </c>
      <c r="I152" s="14" t="s">
        <v>101</v>
      </c>
      <c r="J152" s="14" t="s">
        <v>101</v>
      </c>
      <c r="K152" s="14" t="s">
        <v>101</v>
      </c>
      <c r="L152" s="14" t="s">
        <v>268</v>
      </c>
      <c r="M152" s="14" t="s">
        <v>799</v>
      </c>
      <c r="N152" s="14" t="s">
        <v>988</v>
      </c>
    </row>
    <row r="153" ht="15.75" customHeight="1">
      <c r="A153" s="16"/>
      <c r="B153" s="16"/>
      <c r="C153" s="16"/>
      <c r="D153" s="16"/>
      <c r="E153" s="16"/>
      <c r="F153" s="16"/>
      <c r="G153" s="16"/>
      <c r="H153" s="16"/>
      <c r="I153" s="16"/>
      <c r="J153" s="16"/>
      <c r="K153" s="16"/>
      <c r="L153" s="16"/>
      <c r="M153" s="16"/>
      <c r="N153" s="16"/>
    </row>
    <row r="154" ht="15.75" customHeight="1">
      <c r="A154" s="16"/>
      <c r="B154" s="16"/>
      <c r="C154" s="16"/>
      <c r="D154" s="16"/>
      <c r="E154" s="16"/>
      <c r="F154" s="16"/>
      <c r="G154" s="16"/>
      <c r="H154" s="16"/>
      <c r="I154" s="16"/>
      <c r="J154" s="16"/>
      <c r="K154" s="16"/>
      <c r="L154" s="16"/>
      <c r="M154" s="16"/>
      <c r="N154" s="16"/>
    </row>
    <row r="155" ht="15.75" customHeight="1">
      <c r="A155" s="16"/>
      <c r="B155" s="16"/>
      <c r="C155" s="16"/>
      <c r="D155" s="16"/>
      <c r="E155" s="16"/>
      <c r="F155" s="16"/>
      <c r="G155" s="16"/>
      <c r="H155" s="16"/>
      <c r="I155" s="16"/>
      <c r="J155" s="16"/>
      <c r="K155" s="16"/>
      <c r="L155" s="16"/>
      <c r="M155" s="16"/>
      <c r="N155" s="16"/>
    </row>
    <row r="156" ht="15.75" customHeight="1">
      <c r="A156" s="16"/>
      <c r="B156" s="16"/>
      <c r="C156" s="16"/>
      <c r="D156" s="16"/>
      <c r="E156" s="16"/>
      <c r="F156" s="16"/>
      <c r="G156" s="16"/>
      <c r="H156" s="16"/>
      <c r="I156" s="16"/>
      <c r="J156" s="16"/>
      <c r="K156" s="16"/>
      <c r="L156" s="16"/>
      <c r="M156" s="16"/>
      <c r="N156" s="16"/>
    </row>
    <row r="157" ht="15.75" customHeight="1">
      <c r="A157" s="16"/>
      <c r="B157" s="16"/>
      <c r="C157" s="16"/>
      <c r="D157" s="16"/>
      <c r="E157" s="16"/>
      <c r="F157" s="16"/>
      <c r="G157" s="16"/>
      <c r="H157" s="16"/>
      <c r="I157" s="16"/>
      <c r="J157" s="16"/>
      <c r="K157" s="16"/>
      <c r="L157" s="16"/>
      <c r="M157" s="16"/>
      <c r="N157" s="16"/>
    </row>
    <row r="158" ht="15.75" customHeight="1">
      <c r="A158" s="16"/>
      <c r="B158" s="16"/>
      <c r="C158" s="16"/>
      <c r="D158" s="16"/>
      <c r="E158" s="16"/>
      <c r="F158" s="16"/>
      <c r="G158" s="16"/>
      <c r="H158" s="16"/>
      <c r="I158" s="16"/>
      <c r="J158" s="16"/>
      <c r="K158" s="16"/>
      <c r="L158" s="16"/>
      <c r="M158" s="16"/>
      <c r="N158" s="16"/>
    </row>
    <row r="159" ht="15.75" customHeight="1">
      <c r="A159" s="16"/>
      <c r="B159" s="16"/>
      <c r="C159" s="16"/>
      <c r="D159" s="16"/>
      <c r="E159" s="16"/>
      <c r="F159" s="16"/>
      <c r="G159" s="16"/>
      <c r="H159" s="16"/>
      <c r="I159" s="16"/>
      <c r="J159" s="16"/>
      <c r="K159" s="16"/>
      <c r="L159" s="16"/>
      <c r="M159" s="16"/>
      <c r="N159" s="16"/>
    </row>
    <row r="160" ht="15.75" customHeight="1">
      <c r="A160" s="16"/>
      <c r="B160" s="16"/>
      <c r="C160" s="16"/>
      <c r="D160" s="16"/>
      <c r="E160" s="16"/>
      <c r="F160" s="16"/>
      <c r="G160" s="16"/>
      <c r="H160" s="16"/>
      <c r="I160" s="16"/>
      <c r="J160" s="16"/>
      <c r="K160" s="16"/>
      <c r="L160" s="16"/>
      <c r="M160" s="16"/>
      <c r="N160" s="16"/>
    </row>
    <row r="161" ht="15.75" customHeight="1">
      <c r="A161" s="16"/>
      <c r="B161" s="16"/>
      <c r="C161" s="16"/>
      <c r="D161" s="16"/>
      <c r="E161" s="16"/>
      <c r="F161" s="16"/>
      <c r="G161" s="16"/>
      <c r="H161" s="16"/>
      <c r="I161" s="16"/>
      <c r="J161" s="16"/>
      <c r="K161" s="16"/>
      <c r="L161" s="16"/>
      <c r="M161" s="16"/>
      <c r="N161" s="16"/>
    </row>
    <row r="162" ht="15.75" customHeight="1">
      <c r="A162" s="16"/>
      <c r="B162" s="16"/>
      <c r="C162" s="16"/>
      <c r="D162" s="16"/>
      <c r="E162" s="16"/>
      <c r="F162" s="16"/>
      <c r="G162" s="16"/>
      <c r="H162" s="16"/>
      <c r="I162" s="16"/>
      <c r="J162" s="16"/>
      <c r="K162" s="16"/>
      <c r="L162" s="16"/>
      <c r="M162" s="16"/>
      <c r="N162" s="16"/>
    </row>
    <row r="163" ht="15.75" customHeight="1">
      <c r="A163" s="16"/>
      <c r="B163" s="16"/>
      <c r="C163" s="16"/>
      <c r="D163" s="16"/>
      <c r="E163" s="16"/>
      <c r="F163" s="16"/>
      <c r="G163" s="16"/>
      <c r="H163" s="16"/>
      <c r="I163" s="16"/>
      <c r="J163" s="16"/>
      <c r="K163" s="16"/>
      <c r="L163" s="16"/>
      <c r="M163" s="16"/>
      <c r="N163" s="16"/>
    </row>
    <row r="164" ht="15.75" customHeight="1">
      <c r="A164" s="16"/>
      <c r="B164" s="16"/>
      <c r="C164" s="16"/>
      <c r="D164" s="16"/>
      <c r="E164" s="16"/>
      <c r="F164" s="16"/>
      <c r="G164" s="16"/>
      <c r="H164" s="16"/>
      <c r="I164" s="16"/>
      <c r="J164" s="16"/>
      <c r="K164" s="16"/>
      <c r="L164" s="16"/>
      <c r="M164" s="16"/>
      <c r="N164" s="16"/>
    </row>
    <row r="165" ht="15.75" customHeight="1">
      <c r="A165" s="16"/>
      <c r="B165" s="16"/>
      <c r="C165" s="16"/>
      <c r="D165" s="16"/>
      <c r="E165" s="16"/>
      <c r="F165" s="16"/>
      <c r="G165" s="16"/>
      <c r="H165" s="16"/>
      <c r="I165" s="16"/>
      <c r="J165" s="16"/>
      <c r="K165" s="16"/>
      <c r="L165" s="16"/>
      <c r="M165" s="16"/>
      <c r="N165" s="16"/>
    </row>
    <row r="166" ht="15.75" customHeight="1">
      <c r="A166" s="16"/>
      <c r="B166" s="16"/>
      <c r="C166" s="16"/>
      <c r="D166" s="16"/>
      <c r="E166" s="16"/>
      <c r="F166" s="16"/>
      <c r="G166" s="16"/>
      <c r="H166" s="16"/>
      <c r="I166" s="16"/>
      <c r="J166" s="16"/>
      <c r="K166" s="16"/>
      <c r="L166" s="16"/>
      <c r="M166" s="16"/>
      <c r="N166" s="16"/>
    </row>
    <row r="167" ht="15.75" customHeight="1">
      <c r="A167" s="16"/>
      <c r="B167" s="16"/>
      <c r="C167" s="16"/>
      <c r="D167" s="16"/>
      <c r="E167" s="16"/>
      <c r="F167" s="16"/>
      <c r="G167" s="16"/>
      <c r="H167" s="16"/>
      <c r="I167" s="16"/>
      <c r="J167" s="16"/>
      <c r="K167" s="16"/>
      <c r="L167" s="16"/>
      <c r="M167" s="16"/>
      <c r="N167" s="16"/>
    </row>
    <row r="168" ht="15.75" customHeight="1">
      <c r="A168" s="16"/>
      <c r="B168" s="16"/>
      <c r="C168" s="16"/>
      <c r="D168" s="16"/>
      <c r="E168" s="16"/>
      <c r="F168" s="16"/>
      <c r="G168" s="16"/>
      <c r="H168" s="16"/>
      <c r="I168" s="16"/>
      <c r="J168" s="16"/>
      <c r="K168" s="16"/>
      <c r="L168" s="16"/>
      <c r="M168" s="16"/>
      <c r="N168" s="16"/>
    </row>
    <row r="169" ht="15.75" customHeight="1">
      <c r="A169" s="16"/>
      <c r="B169" s="16"/>
      <c r="C169" s="16"/>
      <c r="D169" s="16"/>
      <c r="E169" s="16"/>
      <c r="F169" s="16"/>
      <c r="G169" s="16"/>
      <c r="H169" s="16"/>
      <c r="I169" s="16"/>
      <c r="J169" s="16"/>
      <c r="K169" s="16"/>
      <c r="L169" s="16"/>
      <c r="M169" s="16"/>
      <c r="N169" s="16"/>
    </row>
    <row r="170" ht="15.75" customHeight="1">
      <c r="A170" s="16"/>
      <c r="B170" s="16"/>
      <c r="C170" s="16"/>
      <c r="D170" s="16"/>
      <c r="E170" s="16"/>
      <c r="F170" s="16"/>
      <c r="G170" s="16"/>
      <c r="H170" s="16"/>
      <c r="I170" s="16"/>
      <c r="J170" s="16"/>
      <c r="K170" s="16"/>
      <c r="L170" s="16"/>
      <c r="M170" s="16"/>
      <c r="N170" s="16"/>
    </row>
    <row r="171" ht="15.75" customHeight="1">
      <c r="A171" s="16"/>
      <c r="B171" s="16"/>
      <c r="C171" s="16"/>
      <c r="D171" s="16"/>
      <c r="E171" s="16"/>
      <c r="F171" s="16"/>
      <c r="G171" s="16"/>
      <c r="H171" s="16"/>
      <c r="I171" s="16"/>
      <c r="J171" s="16"/>
      <c r="K171" s="16"/>
      <c r="L171" s="16"/>
      <c r="M171" s="16"/>
      <c r="N171" s="16"/>
    </row>
    <row r="172" ht="15.75" customHeight="1">
      <c r="A172" s="16"/>
      <c r="B172" s="16"/>
      <c r="C172" s="16"/>
      <c r="D172" s="16"/>
      <c r="E172" s="16"/>
      <c r="F172" s="16"/>
      <c r="G172" s="16"/>
      <c r="H172" s="16"/>
      <c r="I172" s="16"/>
      <c r="J172" s="16"/>
      <c r="K172" s="16"/>
      <c r="L172" s="16"/>
      <c r="M172" s="16"/>
      <c r="N172" s="16"/>
    </row>
    <row r="173" ht="15.75" customHeight="1">
      <c r="A173" s="16"/>
      <c r="B173" s="16"/>
      <c r="C173" s="16"/>
      <c r="D173" s="16"/>
      <c r="E173" s="16"/>
      <c r="F173" s="16"/>
      <c r="G173" s="16"/>
      <c r="H173" s="16"/>
      <c r="I173" s="16"/>
      <c r="J173" s="16"/>
      <c r="K173" s="16"/>
      <c r="L173" s="16"/>
      <c r="M173" s="16"/>
      <c r="N173" s="16"/>
    </row>
    <row r="174" ht="15.75" customHeight="1">
      <c r="A174" s="16"/>
      <c r="B174" s="16"/>
      <c r="C174" s="16"/>
      <c r="D174" s="16"/>
      <c r="E174" s="16"/>
      <c r="F174" s="16"/>
      <c r="G174" s="16"/>
      <c r="H174" s="16"/>
      <c r="I174" s="16"/>
      <c r="J174" s="16"/>
      <c r="K174" s="16"/>
      <c r="L174" s="16"/>
      <c r="M174" s="16"/>
      <c r="N174" s="16"/>
    </row>
    <row r="175" ht="15.75" customHeight="1">
      <c r="A175" s="16"/>
      <c r="B175" s="16"/>
      <c r="C175" s="16"/>
      <c r="D175" s="16"/>
      <c r="E175" s="16"/>
      <c r="F175" s="16"/>
      <c r="G175" s="16"/>
      <c r="H175" s="16"/>
      <c r="I175" s="16"/>
      <c r="J175" s="16"/>
      <c r="K175" s="16"/>
      <c r="L175" s="16"/>
      <c r="M175" s="16"/>
      <c r="N175" s="16"/>
    </row>
    <row r="176" ht="15.75" customHeight="1">
      <c r="A176" s="16"/>
      <c r="B176" s="16"/>
      <c r="C176" s="16"/>
      <c r="D176" s="16"/>
      <c r="E176" s="16"/>
      <c r="F176" s="16"/>
      <c r="G176" s="16"/>
      <c r="H176" s="16"/>
      <c r="I176" s="16"/>
      <c r="J176" s="16"/>
      <c r="K176" s="16"/>
      <c r="L176" s="16"/>
      <c r="M176" s="16"/>
      <c r="N176" s="16"/>
    </row>
    <row r="177" ht="15.75" customHeight="1">
      <c r="A177" s="16"/>
      <c r="B177" s="16"/>
      <c r="C177" s="16"/>
      <c r="D177" s="16"/>
      <c r="E177" s="16"/>
      <c r="F177" s="16"/>
      <c r="G177" s="16"/>
      <c r="H177" s="16"/>
      <c r="I177" s="16"/>
      <c r="J177" s="16"/>
      <c r="K177" s="16"/>
      <c r="L177" s="16"/>
      <c r="M177" s="16"/>
      <c r="N177" s="16"/>
    </row>
    <row r="178" ht="15.75" customHeight="1">
      <c r="A178" s="16"/>
      <c r="B178" s="16"/>
      <c r="C178" s="16"/>
      <c r="D178" s="16"/>
      <c r="E178" s="16"/>
      <c r="F178" s="16"/>
      <c r="G178" s="16"/>
      <c r="H178" s="16"/>
      <c r="I178" s="16"/>
      <c r="J178" s="16"/>
      <c r="K178" s="16"/>
      <c r="L178" s="16"/>
      <c r="M178" s="16"/>
      <c r="N178" s="16"/>
    </row>
    <row r="179" ht="15.75" customHeight="1">
      <c r="A179" s="16"/>
      <c r="B179" s="16"/>
      <c r="C179" s="16"/>
      <c r="D179" s="16"/>
      <c r="E179" s="16"/>
      <c r="F179" s="16"/>
      <c r="G179" s="16"/>
      <c r="H179" s="16"/>
      <c r="I179" s="16"/>
      <c r="J179" s="16"/>
      <c r="K179" s="16"/>
      <c r="L179" s="16"/>
      <c r="M179" s="16"/>
      <c r="N179" s="16"/>
    </row>
    <row r="180" ht="15.75" customHeight="1">
      <c r="A180" s="16"/>
      <c r="B180" s="16"/>
      <c r="C180" s="16"/>
      <c r="D180" s="16"/>
      <c r="E180" s="16"/>
      <c r="F180" s="16"/>
      <c r="G180" s="16"/>
      <c r="H180" s="16"/>
      <c r="I180" s="16"/>
      <c r="J180" s="16"/>
      <c r="K180" s="16"/>
      <c r="L180" s="16"/>
      <c r="M180" s="16"/>
      <c r="N180" s="16"/>
    </row>
    <row r="181" ht="15.75" customHeight="1">
      <c r="A181" s="16"/>
      <c r="B181" s="16"/>
      <c r="C181" s="16"/>
      <c r="D181" s="16"/>
      <c r="E181" s="16"/>
      <c r="F181" s="16"/>
      <c r="G181" s="16"/>
      <c r="H181" s="16"/>
      <c r="I181" s="16"/>
      <c r="J181" s="16"/>
      <c r="K181" s="16"/>
      <c r="L181" s="16"/>
      <c r="M181" s="16"/>
      <c r="N181" s="16"/>
    </row>
    <row r="182" ht="15.75" customHeight="1">
      <c r="A182" s="16"/>
      <c r="B182" s="16"/>
      <c r="C182" s="16"/>
      <c r="D182" s="16"/>
      <c r="E182" s="16"/>
      <c r="F182" s="16"/>
      <c r="G182" s="16"/>
      <c r="H182" s="16"/>
      <c r="I182" s="16"/>
      <c r="J182" s="16"/>
      <c r="K182" s="16"/>
      <c r="L182" s="16"/>
      <c r="M182" s="16"/>
      <c r="N182" s="16"/>
    </row>
    <row r="183" ht="15.75" customHeight="1">
      <c r="A183" s="16"/>
      <c r="B183" s="16"/>
      <c r="C183" s="16"/>
      <c r="D183" s="16"/>
      <c r="E183" s="16"/>
      <c r="F183" s="16"/>
      <c r="G183" s="16"/>
      <c r="H183" s="16"/>
      <c r="I183" s="16"/>
      <c r="J183" s="16"/>
      <c r="K183" s="16"/>
      <c r="L183" s="16"/>
      <c r="M183" s="16"/>
      <c r="N183" s="16"/>
    </row>
    <row r="184" ht="15.75" customHeight="1">
      <c r="A184" s="16"/>
      <c r="B184" s="16"/>
      <c r="C184" s="16"/>
      <c r="D184" s="16"/>
      <c r="E184" s="16"/>
      <c r="F184" s="16"/>
      <c r="G184" s="16"/>
      <c r="H184" s="16"/>
      <c r="I184" s="16"/>
      <c r="J184" s="16"/>
      <c r="K184" s="16"/>
      <c r="L184" s="16"/>
      <c r="M184" s="16"/>
      <c r="N184" s="16"/>
    </row>
    <row r="185" ht="15.75" customHeight="1">
      <c r="A185" s="16"/>
      <c r="B185" s="16"/>
      <c r="C185" s="16"/>
      <c r="D185" s="16"/>
      <c r="E185" s="16"/>
      <c r="F185" s="16"/>
      <c r="G185" s="16"/>
      <c r="H185" s="16"/>
      <c r="I185" s="16"/>
      <c r="J185" s="16"/>
      <c r="K185" s="16"/>
      <c r="L185" s="16"/>
      <c r="M185" s="16"/>
      <c r="N185" s="16"/>
    </row>
    <row r="186" ht="15.75" customHeight="1">
      <c r="A186" s="16"/>
      <c r="B186" s="16"/>
      <c r="C186" s="16"/>
      <c r="D186" s="16"/>
      <c r="E186" s="16"/>
      <c r="F186" s="16"/>
      <c r="G186" s="16"/>
      <c r="H186" s="16"/>
      <c r="I186" s="16"/>
      <c r="J186" s="16"/>
      <c r="K186" s="16"/>
      <c r="L186" s="16"/>
      <c r="M186" s="16"/>
      <c r="N186" s="16"/>
    </row>
    <row r="187" ht="15.75" customHeight="1">
      <c r="A187" s="16"/>
      <c r="B187" s="16"/>
      <c r="C187" s="16"/>
      <c r="D187" s="16"/>
      <c r="E187" s="16"/>
      <c r="F187" s="16"/>
      <c r="G187" s="16"/>
      <c r="H187" s="16"/>
      <c r="I187" s="16"/>
      <c r="J187" s="16"/>
      <c r="K187" s="16"/>
      <c r="L187" s="16"/>
      <c r="M187" s="16"/>
      <c r="N187" s="16"/>
    </row>
    <row r="188" ht="15.75" customHeight="1">
      <c r="A188" s="16"/>
      <c r="B188" s="16"/>
      <c r="C188" s="16"/>
      <c r="D188" s="16"/>
      <c r="E188" s="16"/>
      <c r="F188" s="16"/>
      <c r="G188" s="16"/>
      <c r="H188" s="16"/>
      <c r="I188" s="16"/>
      <c r="J188" s="16"/>
      <c r="K188" s="16"/>
      <c r="L188" s="16"/>
      <c r="M188" s="16"/>
      <c r="N188" s="16"/>
    </row>
    <row r="189" ht="15.75" customHeight="1">
      <c r="A189" s="16"/>
      <c r="B189" s="16"/>
      <c r="C189" s="16"/>
      <c r="D189" s="16"/>
      <c r="E189" s="16"/>
      <c r="F189" s="16"/>
      <c r="G189" s="16"/>
      <c r="H189" s="16"/>
      <c r="I189" s="16"/>
      <c r="J189" s="16"/>
      <c r="K189" s="16"/>
      <c r="L189" s="16"/>
      <c r="M189" s="16"/>
      <c r="N189" s="16"/>
    </row>
    <row r="190" ht="15.75" customHeight="1">
      <c r="A190" s="16"/>
      <c r="B190" s="16"/>
      <c r="C190" s="16"/>
      <c r="D190" s="16"/>
      <c r="E190" s="16"/>
      <c r="F190" s="16"/>
      <c r="G190" s="16"/>
      <c r="H190" s="16"/>
      <c r="I190" s="16"/>
      <c r="J190" s="16"/>
      <c r="K190" s="16"/>
      <c r="L190" s="16"/>
      <c r="M190" s="16"/>
      <c r="N190" s="16"/>
    </row>
    <row r="191" ht="15.75" customHeight="1">
      <c r="A191" s="16"/>
      <c r="B191" s="16"/>
      <c r="C191" s="16"/>
      <c r="D191" s="16"/>
      <c r="E191" s="16"/>
      <c r="F191" s="16"/>
      <c r="G191" s="16"/>
      <c r="H191" s="16"/>
      <c r="I191" s="16"/>
      <c r="J191" s="16"/>
      <c r="K191" s="16"/>
      <c r="L191" s="16"/>
      <c r="M191" s="16"/>
      <c r="N191" s="16"/>
    </row>
    <row r="192" ht="15.75" customHeight="1">
      <c r="A192" s="16"/>
      <c r="B192" s="16"/>
      <c r="C192" s="16"/>
      <c r="D192" s="16"/>
      <c r="E192" s="16"/>
      <c r="F192" s="16"/>
      <c r="G192" s="16"/>
      <c r="H192" s="16"/>
      <c r="I192" s="16"/>
      <c r="J192" s="16"/>
      <c r="K192" s="16"/>
      <c r="L192" s="16"/>
      <c r="M192" s="16"/>
      <c r="N192" s="16"/>
    </row>
    <row r="193" ht="15.75" customHeight="1">
      <c r="A193" s="16"/>
      <c r="B193" s="16"/>
      <c r="C193" s="16"/>
      <c r="D193" s="16"/>
      <c r="E193" s="16"/>
      <c r="F193" s="16"/>
      <c r="G193" s="16"/>
      <c r="H193" s="16"/>
      <c r="I193" s="16"/>
      <c r="J193" s="16"/>
      <c r="K193" s="16"/>
      <c r="L193" s="16"/>
      <c r="M193" s="16"/>
      <c r="N193" s="16"/>
    </row>
    <row r="194" ht="15.75" customHeight="1">
      <c r="A194" s="16"/>
      <c r="B194" s="16"/>
      <c r="C194" s="16"/>
      <c r="D194" s="16"/>
      <c r="E194" s="16"/>
      <c r="F194" s="16"/>
      <c r="G194" s="16"/>
      <c r="H194" s="16"/>
      <c r="I194" s="16"/>
      <c r="J194" s="16"/>
      <c r="K194" s="16"/>
      <c r="L194" s="16"/>
      <c r="M194" s="16"/>
      <c r="N194" s="16"/>
    </row>
    <row r="195" ht="15.75" customHeight="1">
      <c r="A195" s="16"/>
      <c r="B195" s="16"/>
      <c r="C195" s="16"/>
      <c r="D195" s="16"/>
      <c r="E195" s="16"/>
      <c r="F195" s="16"/>
      <c r="G195" s="16"/>
      <c r="H195" s="16"/>
      <c r="I195" s="16"/>
      <c r="J195" s="16"/>
      <c r="K195" s="16"/>
      <c r="L195" s="16"/>
      <c r="M195" s="16"/>
      <c r="N195" s="16"/>
    </row>
    <row r="196" ht="15.75" customHeight="1">
      <c r="A196" s="16"/>
      <c r="B196" s="16"/>
      <c r="C196" s="16"/>
      <c r="D196" s="16"/>
      <c r="E196" s="16"/>
      <c r="F196" s="16"/>
      <c r="G196" s="16"/>
      <c r="H196" s="16"/>
      <c r="I196" s="16"/>
      <c r="J196" s="16"/>
      <c r="K196" s="16"/>
      <c r="L196" s="16"/>
      <c r="M196" s="16"/>
      <c r="N196" s="16"/>
    </row>
    <row r="197" ht="15.75" customHeight="1">
      <c r="A197" s="16"/>
      <c r="B197" s="16"/>
      <c r="C197" s="16"/>
      <c r="D197" s="16"/>
      <c r="E197" s="16"/>
      <c r="F197" s="16"/>
      <c r="G197" s="16"/>
      <c r="H197" s="16"/>
      <c r="I197" s="16"/>
      <c r="J197" s="16"/>
      <c r="K197" s="16"/>
      <c r="L197" s="16"/>
      <c r="M197" s="16"/>
      <c r="N197" s="16"/>
    </row>
    <row r="198" ht="15.75" customHeight="1">
      <c r="A198" s="16"/>
      <c r="B198" s="16"/>
      <c r="C198" s="16"/>
      <c r="D198" s="16"/>
      <c r="E198" s="16"/>
      <c r="F198" s="16"/>
      <c r="G198" s="16"/>
      <c r="H198" s="16"/>
      <c r="I198" s="16"/>
      <c r="J198" s="16"/>
      <c r="K198" s="16"/>
      <c r="L198" s="16"/>
      <c r="M198" s="16"/>
      <c r="N198" s="16"/>
    </row>
    <row r="199" ht="15.75" customHeight="1">
      <c r="A199" s="16"/>
      <c r="B199" s="16"/>
      <c r="C199" s="16"/>
      <c r="D199" s="16"/>
      <c r="E199" s="16"/>
      <c r="F199" s="16"/>
      <c r="G199" s="16"/>
      <c r="H199" s="16"/>
      <c r="I199" s="16"/>
      <c r="J199" s="16"/>
      <c r="K199" s="16"/>
      <c r="L199" s="16"/>
      <c r="M199" s="16"/>
      <c r="N199" s="16"/>
    </row>
    <row r="200" ht="15.75" customHeight="1">
      <c r="A200" s="16"/>
      <c r="B200" s="16"/>
      <c r="C200" s="16"/>
      <c r="D200" s="16"/>
      <c r="E200" s="16"/>
      <c r="F200" s="16"/>
      <c r="G200" s="16"/>
      <c r="H200" s="16"/>
      <c r="I200" s="16"/>
      <c r="J200" s="16"/>
      <c r="K200" s="16"/>
      <c r="L200" s="16"/>
      <c r="M200" s="16"/>
      <c r="N200" s="16"/>
    </row>
    <row r="201" ht="15.75" customHeight="1">
      <c r="A201" s="16"/>
      <c r="B201" s="16"/>
      <c r="C201" s="16"/>
      <c r="D201" s="16"/>
      <c r="E201" s="16"/>
      <c r="F201" s="16"/>
      <c r="G201" s="16"/>
      <c r="H201" s="16"/>
      <c r="I201" s="16"/>
      <c r="J201" s="16"/>
      <c r="K201" s="16"/>
      <c r="L201" s="16"/>
      <c r="M201" s="16"/>
      <c r="N201" s="16"/>
    </row>
    <row r="202" ht="15.75" customHeight="1">
      <c r="A202" s="16"/>
      <c r="B202" s="16"/>
      <c r="C202" s="16"/>
      <c r="D202" s="16"/>
      <c r="E202" s="16"/>
      <c r="F202" s="16"/>
      <c r="G202" s="16"/>
      <c r="H202" s="16"/>
      <c r="I202" s="16"/>
      <c r="J202" s="16"/>
      <c r="K202" s="16"/>
      <c r="L202" s="16"/>
      <c r="M202" s="16"/>
      <c r="N202" s="16"/>
    </row>
    <row r="203" ht="15.75" customHeight="1">
      <c r="A203" s="16"/>
      <c r="B203" s="16"/>
      <c r="C203" s="16"/>
      <c r="D203" s="16"/>
      <c r="E203" s="16"/>
      <c r="F203" s="16"/>
      <c r="G203" s="16"/>
      <c r="H203" s="16"/>
      <c r="I203" s="16"/>
      <c r="J203" s="16"/>
      <c r="K203" s="16"/>
      <c r="L203" s="16"/>
      <c r="M203" s="16"/>
      <c r="N203" s="16"/>
    </row>
    <row r="204" ht="15.75" customHeight="1">
      <c r="A204" s="16"/>
      <c r="B204" s="16"/>
      <c r="C204" s="16"/>
      <c r="D204" s="16"/>
      <c r="E204" s="16"/>
      <c r="F204" s="16"/>
      <c r="G204" s="16"/>
      <c r="H204" s="16"/>
      <c r="I204" s="16"/>
      <c r="J204" s="16"/>
      <c r="K204" s="16"/>
      <c r="L204" s="16"/>
      <c r="M204" s="16"/>
      <c r="N204" s="16"/>
    </row>
    <row r="205" ht="15.75" customHeight="1">
      <c r="A205" s="16"/>
      <c r="B205" s="16"/>
      <c r="C205" s="16"/>
      <c r="D205" s="16"/>
      <c r="E205" s="16"/>
      <c r="F205" s="16"/>
      <c r="G205" s="16"/>
      <c r="H205" s="16"/>
      <c r="I205" s="16"/>
      <c r="J205" s="16"/>
      <c r="K205" s="16"/>
      <c r="L205" s="16"/>
      <c r="M205" s="16"/>
      <c r="N205" s="16"/>
    </row>
    <row r="206" ht="15.75" customHeight="1">
      <c r="A206" s="16"/>
      <c r="B206" s="16"/>
      <c r="C206" s="16"/>
      <c r="D206" s="16"/>
      <c r="E206" s="16"/>
      <c r="F206" s="16"/>
      <c r="G206" s="16"/>
      <c r="H206" s="16"/>
      <c r="I206" s="16"/>
      <c r="J206" s="16"/>
      <c r="K206" s="16"/>
      <c r="L206" s="16"/>
      <c r="M206" s="16"/>
      <c r="N206" s="16"/>
    </row>
    <row r="207" ht="15.75" customHeight="1">
      <c r="A207" s="16"/>
      <c r="B207" s="16"/>
      <c r="C207" s="16"/>
      <c r="D207" s="16"/>
      <c r="E207" s="16"/>
      <c r="F207" s="16"/>
      <c r="G207" s="16"/>
      <c r="H207" s="16"/>
      <c r="I207" s="16"/>
      <c r="J207" s="16"/>
      <c r="K207" s="16"/>
      <c r="L207" s="16"/>
      <c r="M207" s="16"/>
      <c r="N207" s="16"/>
    </row>
    <row r="208" ht="15.75" customHeight="1">
      <c r="A208" s="16"/>
      <c r="B208" s="16"/>
      <c r="C208" s="16"/>
      <c r="D208" s="16"/>
      <c r="E208" s="16"/>
      <c r="F208" s="16"/>
      <c r="G208" s="16"/>
      <c r="H208" s="16"/>
      <c r="I208" s="16"/>
      <c r="J208" s="16"/>
      <c r="K208" s="16"/>
      <c r="L208" s="16"/>
      <c r="M208" s="16"/>
      <c r="N208" s="16"/>
    </row>
    <row r="209" ht="15.75" customHeight="1">
      <c r="A209" s="16"/>
      <c r="B209" s="16"/>
      <c r="C209" s="16"/>
      <c r="D209" s="16"/>
      <c r="E209" s="16"/>
      <c r="F209" s="16"/>
      <c r="G209" s="16"/>
      <c r="H209" s="16"/>
      <c r="I209" s="16"/>
      <c r="J209" s="16"/>
      <c r="K209" s="16"/>
      <c r="L209" s="16"/>
      <c r="M209" s="16"/>
      <c r="N209" s="16"/>
    </row>
    <row r="210" ht="15.75" customHeight="1">
      <c r="A210" s="16"/>
      <c r="B210" s="16"/>
      <c r="C210" s="16"/>
      <c r="D210" s="16"/>
      <c r="E210" s="16"/>
      <c r="F210" s="16"/>
      <c r="G210" s="16"/>
      <c r="H210" s="16"/>
      <c r="I210" s="16"/>
      <c r="J210" s="16"/>
      <c r="K210" s="16"/>
      <c r="L210" s="16"/>
      <c r="M210" s="16"/>
      <c r="N210" s="16"/>
    </row>
    <row r="211" ht="15.75" customHeight="1">
      <c r="A211" s="16"/>
      <c r="B211" s="16"/>
      <c r="C211" s="16"/>
      <c r="D211" s="16"/>
      <c r="E211" s="16"/>
      <c r="F211" s="16"/>
      <c r="G211" s="16"/>
      <c r="H211" s="16"/>
      <c r="I211" s="16"/>
      <c r="J211" s="16"/>
      <c r="K211" s="16"/>
      <c r="L211" s="16"/>
      <c r="M211" s="16"/>
      <c r="N211" s="16"/>
    </row>
    <row r="212" ht="15.75" customHeight="1">
      <c r="A212" s="16"/>
      <c r="B212" s="16"/>
      <c r="C212" s="16"/>
      <c r="D212" s="16"/>
      <c r="E212" s="16"/>
      <c r="F212" s="16"/>
      <c r="G212" s="16"/>
      <c r="H212" s="16"/>
      <c r="I212" s="16"/>
      <c r="J212" s="16"/>
      <c r="K212" s="16"/>
      <c r="L212" s="16"/>
      <c r="M212" s="16"/>
      <c r="N212" s="16"/>
    </row>
    <row r="213" ht="15.75" customHeight="1">
      <c r="A213" s="16"/>
      <c r="B213" s="16"/>
      <c r="C213" s="16"/>
      <c r="D213" s="16"/>
      <c r="E213" s="16"/>
      <c r="F213" s="16"/>
      <c r="G213" s="16"/>
      <c r="H213" s="16"/>
      <c r="I213" s="16"/>
      <c r="J213" s="16"/>
      <c r="K213" s="16"/>
      <c r="L213" s="16"/>
      <c r="M213" s="16"/>
      <c r="N213" s="16"/>
    </row>
    <row r="214" ht="15.75" customHeight="1">
      <c r="A214" s="16"/>
      <c r="B214" s="16"/>
      <c r="C214" s="16"/>
      <c r="D214" s="16"/>
      <c r="E214" s="16"/>
      <c r="F214" s="16"/>
      <c r="G214" s="16"/>
      <c r="H214" s="16"/>
      <c r="I214" s="16"/>
      <c r="J214" s="16"/>
      <c r="K214" s="16"/>
      <c r="L214" s="16"/>
      <c r="M214" s="16"/>
      <c r="N214" s="16"/>
    </row>
    <row r="215" ht="15.75" customHeight="1">
      <c r="A215" s="16"/>
      <c r="B215" s="16"/>
      <c r="C215" s="16"/>
      <c r="D215" s="16"/>
      <c r="E215" s="16"/>
      <c r="F215" s="16"/>
      <c r="G215" s="16"/>
      <c r="H215" s="16"/>
      <c r="I215" s="16"/>
      <c r="J215" s="16"/>
      <c r="K215" s="16"/>
      <c r="L215" s="16"/>
      <c r="M215" s="16"/>
      <c r="N215" s="16"/>
    </row>
    <row r="216" ht="15.75" customHeight="1">
      <c r="A216" s="16"/>
      <c r="B216" s="16"/>
      <c r="C216" s="16"/>
      <c r="D216" s="16"/>
      <c r="E216" s="16"/>
      <c r="F216" s="16"/>
      <c r="G216" s="16"/>
      <c r="H216" s="16"/>
      <c r="I216" s="16"/>
      <c r="J216" s="16"/>
      <c r="K216" s="16"/>
      <c r="L216" s="16"/>
      <c r="M216" s="16"/>
      <c r="N216" s="16"/>
    </row>
    <row r="217" ht="15.75" customHeight="1">
      <c r="A217" s="16"/>
      <c r="B217" s="16"/>
      <c r="C217" s="16"/>
      <c r="D217" s="16"/>
      <c r="E217" s="16"/>
      <c r="F217" s="16"/>
      <c r="G217" s="16"/>
      <c r="H217" s="16"/>
      <c r="I217" s="16"/>
      <c r="J217" s="16"/>
      <c r="K217" s="16"/>
      <c r="L217" s="16"/>
      <c r="M217" s="16"/>
      <c r="N217" s="16"/>
    </row>
    <row r="218" ht="15.75" customHeight="1">
      <c r="A218" s="16"/>
      <c r="B218" s="16"/>
      <c r="C218" s="16"/>
      <c r="D218" s="16"/>
      <c r="E218" s="16"/>
      <c r="F218" s="16"/>
      <c r="G218" s="16"/>
      <c r="H218" s="16"/>
      <c r="I218" s="16"/>
      <c r="J218" s="16"/>
      <c r="K218" s="16"/>
      <c r="L218" s="16"/>
      <c r="M218" s="16"/>
      <c r="N218" s="16"/>
    </row>
    <row r="219" ht="15.75" customHeight="1">
      <c r="A219" s="16"/>
      <c r="B219" s="16"/>
      <c r="C219" s="16"/>
      <c r="D219" s="16"/>
      <c r="E219" s="16"/>
      <c r="F219" s="16"/>
      <c r="G219" s="16"/>
      <c r="H219" s="16"/>
      <c r="I219" s="16"/>
      <c r="J219" s="16"/>
      <c r="K219" s="16"/>
      <c r="L219" s="16"/>
      <c r="M219" s="16"/>
      <c r="N219" s="16"/>
    </row>
    <row r="220" ht="15.75" customHeight="1">
      <c r="A220" s="16"/>
      <c r="B220" s="16"/>
      <c r="C220" s="16"/>
      <c r="D220" s="16"/>
      <c r="E220" s="16"/>
      <c r="F220" s="16"/>
      <c r="G220" s="16"/>
      <c r="H220" s="16"/>
      <c r="I220" s="16"/>
      <c r="J220" s="16"/>
      <c r="K220" s="16"/>
      <c r="L220" s="16"/>
      <c r="M220" s="16"/>
      <c r="N220" s="16"/>
    </row>
    <row r="221" ht="15.75" customHeight="1">
      <c r="A221" s="16"/>
      <c r="B221" s="16"/>
      <c r="C221" s="16"/>
      <c r="D221" s="16"/>
      <c r="E221" s="16"/>
      <c r="F221" s="16"/>
      <c r="G221" s="16"/>
      <c r="H221" s="16"/>
      <c r="I221" s="16"/>
      <c r="J221" s="16"/>
      <c r="K221" s="16"/>
      <c r="L221" s="16"/>
      <c r="M221" s="16"/>
      <c r="N221" s="16"/>
    </row>
    <row r="222" ht="15.75" customHeight="1">
      <c r="A222" s="16"/>
      <c r="B222" s="16"/>
      <c r="C222" s="16"/>
      <c r="D222" s="16"/>
      <c r="E222" s="16"/>
      <c r="F222" s="16"/>
      <c r="G222" s="16"/>
      <c r="H222" s="16"/>
      <c r="I222" s="16"/>
      <c r="J222" s="16"/>
      <c r="K222" s="16"/>
      <c r="L222" s="16"/>
      <c r="M222" s="16"/>
      <c r="N222" s="16"/>
    </row>
    <row r="223" ht="15.75" customHeight="1">
      <c r="A223" s="16"/>
      <c r="B223" s="16"/>
      <c r="C223" s="16"/>
      <c r="D223" s="16"/>
      <c r="E223" s="16"/>
      <c r="F223" s="16"/>
      <c r="G223" s="16"/>
      <c r="H223" s="16"/>
      <c r="I223" s="16"/>
      <c r="J223" s="16"/>
      <c r="K223" s="16"/>
      <c r="L223" s="16"/>
      <c r="M223" s="16"/>
      <c r="N223" s="16"/>
    </row>
    <row r="224" ht="15.75" customHeight="1">
      <c r="A224" s="16"/>
      <c r="B224" s="16"/>
      <c r="C224" s="16"/>
      <c r="D224" s="16"/>
      <c r="E224" s="16"/>
      <c r="F224" s="16"/>
      <c r="G224" s="16"/>
      <c r="H224" s="16"/>
      <c r="I224" s="16"/>
      <c r="J224" s="16"/>
      <c r="K224" s="16"/>
      <c r="L224" s="16"/>
      <c r="M224" s="16"/>
      <c r="N224" s="16"/>
    </row>
    <row r="225" ht="15.75" customHeight="1">
      <c r="A225" s="16"/>
      <c r="B225" s="16"/>
      <c r="C225" s="16"/>
      <c r="D225" s="16"/>
      <c r="E225" s="16"/>
      <c r="F225" s="16"/>
      <c r="G225" s="16"/>
      <c r="H225" s="16"/>
      <c r="I225" s="16"/>
      <c r="J225" s="16"/>
      <c r="K225" s="16"/>
      <c r="L225" s="16"/>
      <c r="M225" s="16"/>
      <c r="N225" s="16"/>
    </row>
    <row r="226" ht="15.75" customHeight="1">
      <c r="A226" s="16"/>
      <c r="B226" s="16"/>
      <c r="C226" s="16"/>
      <c r="D226" s="16"/>
      <c r="E226" s="16"/>
      <c r="F226" s="16"/>
      <c r="G226" s="16"/>
      <c r="H226" s="16"/>
      <c r="I226" s="16"/>
      <c r="J226" s="16"/>
      <c r="K226" s="16"/>
      <c r="L226" s="16"/>
      <c r="M226" s="16"/>
      <c r="N226" s="16"/>
    </row>
    <row r="227" ht="15.75" customHeight="1">
      <c r="A227" s="16"/>
      <c r="B227" s="16"/>
      <c r="C227" s="16"/>
      <c r="D227" s="16"/>
      <c r="E227" s="16"/>
      <c r="F227" s="16"/>
      <c r="G227" s="16"/>
      <c r="H227" s="16"/>
      <c r="I227" s="16"/>
      <c r="J227" s="16"/>
      <c r="K227" s="16"/>
      <c r="L227" s="16"/>
      <c r="M227" s="16"/>
      <c r="N227" s="16"/>
    </row>
    <row r="228" ht="15.75" customHeight="1">
      <c r="A228" s="16"/>
      <c r="B228" s="16"/>
      <c r="C228" s="16"/>
      <c r="D228" s="16"/>
      <c r="E228" s="16"/>
      <c r="F228" s="16"/>
      <c r="G228" s="16"/>
      <c r="H228" s="16"/>
      <c r="I228" s="16"/>
      <c r="J228" s="16"/>
      <c r="K228" s="16"/>
      <c r="L228" s="16"/>
      <c r="M228" s="16"/>
      <c r="N228" s="16"/>
    </row>
    <row r="229" ht="15.75" customHeight="1">
      <c r="A229" s="16"/>
      <c r="B229" s="16"/>
      <c r="C229" s="16"/>
      <c r="D229" s="16"/>
      <c r="E229" s="16"/>
      <c r="F229" s="16"/>
      <c r="G229" s="16"/>
      <c r="H229" s="16"/>
      <c r="I229" s="16"/>
      <c r="J229" s="16"/>
      <c r="K229" s="16"/>
      <c r="L229" s="16"/>
      <c r="M229" s="16"/>
      <c r="N229" s="16"/>
    </row>
    <row r="230" ht="15.75" customHeight="1">
      <c r="A230" s="16"/>
      <c r="B230" s="16"/>
      <c r="C230" s="16"/>
      <c r="D230" s="16"/>
      <c r="E230" s="16"/>
      <c r="F230" s="16"/>
      <c r="G230" s="16"/>
      <c r="H230" s="16"/>
      <c r="I230" s="16"/>
      <c r="J230" s="16"/>
      <c r="K230" s="16"/>
      <c r="L230" s="16"/>
      <c r="M230" s="16"/>
      <c r="N230" s="16"/>
    </row>
    <row r="231" ht="15.75" customHeight="1">
      <c r="A231" s="16"/>
      <c r="B231" s="16"/>
      <c r="C231" s="16"/>
      <c r="D231" s="16"/>
      <c r="E231" s="16"/>
      <c r="F231" s="16"/>
      <c r="G231" s="16"/>
      <c r="H231" s="16"/>
      <c r="I231" s="16"/>
      <c r="J231" s="16"/>
      <c r="K231" s="16"/>
      <c r="L231" s="16"/>
      <c r="M231" s="16"/>
      <c r="N231" s="16"/>
    </row>
    <row r="232" ht="15.75" customHeight="1">
      <c r="A232" s="16"/>
      <c r="B232" s="16"/>
      <c r="C232" s="16"/>
      <c r="D232" s="16"/>
      <c r="E232" s="16"/>
      <c r="F232" s="16"/>
      <c r="G232" s="16"/>
      <c r="H232" s="16"/>
      <c r="I232" s="16"/>
      <c r="J232" s="16"/>
      <c r="K232" s="16"/>
      <c r="L232" s="16"/>
      <c r="M232" s="16"/>
      <c r="N232" s="16"/>
    </row>
    <row r="233" ht="15.75" customHeight="1">
      <c r="A233" s="16"/>
      <c r="B233" s="16"/>
      <c r="C233" s="16"/>
      <c r="D233" s="16"/>
      <c r="E233" s="16"/>
      <c r="F233" s="16"/>
      <c r="G233" s="16"/>
      <c r="H233" s="16"/>
      <c r="I233" s="16"/>
      <c r="J233" s="16"/>
      <c r="K233" s="16"/>
      <c r="L233" s="16"/>
      <c r="M233" s="16"/>
      <c r="N233" s="16"/>
    </row>
    <row r="234" ht="15.75" customHeight="1">
      <c r="A234" s="16"/>
      <c r="B234" s="16"/>
      <c r="C234" s="16"/>
      <c r="D234" s="16"/>
      <c r="E234" s="16"/>
      <c r="F234" s="16"/>
      <c r="G234" s="16"/>
      <c r="H234" s="16"/>
      <c r="I234" s="16"/>
      <c r="J234" s="16"/>
      <c r="K234" s="16"/>
      <c r="L234" s="16"/>
      <c r="M234" s="16"/>
      <c r="N234" s="16"/>
    </row>
    <row r="235" ht="15.75" customHeight="1">
      <c r="A235" s="16"/>
      <c r="B235" s="16"/>
      <c r="C235" s="16"/>
      <c r="D235" s="16"/>
      <c r="E235" s="16"/>
      <c r="F235" s="16"/>
      <c r="G235" s="16"/>
      <c r="H235" s="16"/>
      <c r="I235" s="16"/>
      <c r="J235" s="16"/>
      <c r="K235" s="16"/>
      <c r="L235" s="16"/>
      <c r="M235" s="16"/>
      <c r="N235" s="16"/>
    </row>
    <row r="236" ht="15.75" customHeight="1">
      <c r="A236" s="16"/>
      <c r="B236" s="16"/>
      <c r="C236" s="16"/>
      <c r="D236" s="16"/>
      <c r="E236" s="16"/>
      <c r="F236" s="16"/>
      <c r="G236" s="16"/>
      <c r="H236" s="16"/>
      <c r="I236" s="16"/>
      <c r="J236" s="16"/>
      <c r="K236" s="16"/>
      <c r="L236" s="16"/>
      <c r="M236" s="16"/>
      <c r="N236" s="16"/>
    </row>
    <row r="237" ht="15.75" customHeight="1">
      <c r="A237" s="16"/>
      <c r="B237" s="16"/>
      <c r="C237" s="16"/>
      <c r="D237" s="16"/>
      <c r="E237" s="16"/>
      <c r="F237" s="16"/>
      <c r="G237" s="16"/>
      <c r="H237" s="16"/>
      <c r="I237" s="16"/>
      <c r="J237" s="16"/>
      <c r="K237" s="16"/>
      <c r="L237" s="16"/>
      <c r="M237" s="16"/>
      <c r="N237" s="16"/>
    </row>
    <row r="238" ht="15.75" customHeight="1">
      <c r="A238" s="16"/>
      <c r="B238" s="16"/>
      <c r="C238" s="16"/>
      <c r="D238" s="16"/>
      <c r="E238" s="16"/>
      <c r="F238" s="16"/>
      <c r="G238" s="16"/>
      <c r="H238" s="16"/>
      <c r="I238" s="16"/>
      <c r="J238" s="16"/>
      <c r="K238" s="16"/>
      <c r="L238" s="16"/>
      <c r="M238" s="16"/>
      <c r="N238" s="16"/>
    </row>
    <row r="239" ht="15.75" customHeight="1">
      <c r="A239" s="16"/>
      <c r="B239" s="16"/>
      <c r="C239" s="16"/>
      <c r="D239" s="16"/>
      <c r="E239" s="16"/>
      <c r="F239" s="16"/>
      <c r="G239" s="16"/>
      <c r="H239" s="16"/>
      <c r="I239" s="16"/>
      <c r="J239" s="16"/>
      <c r="K239" s="16"/>
      <c r="L239" s="16"/>
      <c r="M239" s="16"/>
      <c r="N239" s="1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sheetData>
  <autoFilter ref="$A$3:$N$239"/>
  <conditionalFormatting sqref="B4:N239">
    <cfRule type="expression" dxfId="0" priority="1">
      <formula>AND($A4&lt;&gt;"",B4="")</formula>
    </cfRule>
  </conditionalFormatting>
  <dataValidations>
    <dataValidation type="list" allowBlank="1" sqref="A4:A239">
      <formula1>"C0,C1,C2"</formula1>
    </dataValidation>
    <dataValidation type="list" allowBlank="1" sqref="C4:C239">
      <formula1>"E1,E2,E3"</formula1>
    </dataValidation>
    <dataValidation type="list" allowBlank="1" sqref="F4:K239">
      <formula1>"Sim,Não"</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22.0"/>
    <col customWidth="1" min="3" max="3" width="20.0"/>
    <col customWidth="1" min="4" max="4" width="10.0"/>
    <col customWidth="1" min="5" max="7" width="16.0"/>
    <col customWidth="1" min="8" max="10" width="18.0"/>
    <col customWidth="1" min="11" max="26" width="8.71"/>
  </cols>
  <sheetData>
    <row r="1">
      <c r="A1" s="1" t="s">
        <v>898</v>
      </c>
    </row>
    <row r="2">
      <c r="A2" s="2" t="s">
        <v>899</v>
      </c>
    </row>
    <row r="3" ht="31.5" customHeight="1">
      <c r="A3" s="12" t="s">
        <v>902</v>
      </c>
      <c r="B3" s="12" t="s">
        <v>903</v>
      </c>
      <c r="C3" s="12" t="s">
        <v>50</v>
      </c>
      <c r="D3" s="12" t="s">
        <v>54</v>
      </c>
      <c r="E3" s="12" t="s">
        <v>905</v>
      </c>
      <c r="F3" s="12" t="s">
        <v>906</v>
      </c>
      <c r="G3" s="12" t="s">
        <v>907</v>
      </c>
      <c r="H3" s="12" t="s">
        <v>909</v>
      </c>
      <c r="I3" s="12" t="s">
        <v>910</v>
      </c>
      <c r="J3" s="12" t="s">
        <v>912</v>
      </c>
    </row>
    <row r="4">
      <c r="A4" s="47">
        <v>4.0</v>
      </c>
      <c r="B4" s="47" t="str">
        <f>IF(GABARITO!$B4="","",IF(COUNTIF(GABARITO!$B$4:$B4,GABARITO!$B4)=1,GABARITO!$B4,""))</f>
        <v>RN02</v>
      </c>
      <c r="C4" s="47" t="str">
        <f>IF(GABARITO!$G4="","",GABARITO!$G4)</f>
        <v>SC01</v>
      </c>
      <c r="D4" s="47" t="str">
        <f>IF(GABARITO!$J4="","",GABARITO!$J4)</f>
        <v>Não</v>
      </c>
      <c r="E4" s="47">
        <f>IFERROR(__xludf.DUMMYFUNCTION("IF($B4="""","""",IF(SUMPRODUCT((RASTREABILIDADE!$A$2:$A$2000=""C0"")*(RASTREABILIDADE!$F$2:$F$2000=""Sim"")*REGEXMATCH(RASTREABILIDADE!$E$2:$E$2000,""(^|[^A-Za-z0-9])""&amp;$B4&amp;""($|[^A-Za-z0-9])"")*(((RESUMO!$B$5=""Todas"")+(RASTREABILIDADE!$C$2:$C$2000=RESU"&amp;"MO!$B$5))&gt;0)*(((RESUMO!$B$6=""Todas"")+(RASTREABILIDADE!$B$2:$B$2000=RESUMO!$B$6))&gt;0))&gt;0,1,0))"),1.0)</f>
        <v>1</v>
      </c>
      <c r="F4" s="47">
        <f>IFERROR(__xludf.DUMMYFUNCTION("IF($B4="""","""",IF(SUMPRODUCT((RASTREABILIDADE!$A$2:$A$2000=""C1"")*(RASTREABILIDADE!$F$2:$F$2000=""Sim"")*REGEXMATCH(RASTREABILIDADE!$E$2:$E$2000,""(^|[^A-Za-z0-9])""&amp;$B4&amp;""($|[^A-Za-z0-9])"")*(((RESUMO!$B$5=""Todas"")+(RASTREABILIDADE!$C$2:$C$2000=RESU"&amp;"MO!$B$5))&gt;0)*(((RESUMO!$B$6=""Todas"")+(RASTREABILIDADE!$B$2:$B$2000=RESUMO!$B$6))&gt;0))&gt;0,1,0))"),1.0)</f>
        <v>1</v>
      </c>
      <c r="G4" s="47">
        <f>IFERROR(__xludf.DUMMYFUNCTION("IF($B4="""","""",IF(SUMPRODUCT((RASTREABILIDADE!$A$2:$A$2000=""C2"")*(RASTREABILIDADE!$F$2:$F$2000=""Sim"")*REGEXMATCH(RASTREABILIDADE!$E$2:$E$2000,""(^|[^A-Za-z0-9])""&amp;$B4&amp;""($|[^A-Za-z0-9])"")*(((RESUMO!$B$5=""Todas"")+(RASTREABILIDADE!$C$2:$C$2000=RESU"&amp;"MO!$B$5))&gt;0)*(((RESUMO!$B$6=""Todas"")+(RASTREABILIDADE!$B$2:$B$2000=RESUMO!$B$6))&gt;0))&gt;0,1,0))"),1.0)</f>
        <v>1</v>
      </c>
      <c r="H4" s="47" t="str">
        <f>IF(OR($C4="",$D4&lt;&gt;"Sim"),"",IF(COUNTIFS(RASTREABILIDADE!$A:$A,"C0",RASTREABILIDADE!$G:$G,$C4,RASTREABILIDADE!$H:$H,"Sim",RASTREABILIDADE!$C:$C,IF(RESUMO!$B$5="Todas","&lt;&gt;",RESUMO!$B$5),RASTREABILIDADE!$B:$B,IF(RESUMO!$B$6="Todas","&lt;&gt;",RESUMO!$B$6))&gt;0,1,0))</f>
        <v/>
      </c>
      <c r="I4" s="47" t="str">
        <f>IF(OR($C4="",$D4&lt;&gt;"Sim"),"",IF(COUNTIFS(RASTREABILIDADE!$A:$A,"C1",RASTREABILIDADE!$G:$G,$C4,RASTREABILIDADE!$H:$H,"Sim",RASTREABILIDADE!$C:$C,IF(RESUMO!$B$5="Todas","&lt;&gt;",RESUMO!$B$5),RASTREABILIDADE!$B:$B,IF(RESUMO!$B$6="Todas","&lt;&gt;",RESUMO!$B$6))&gt;0,1,0))</f>
        <v/>
      </c>
      <c r="J4" s="47" t="str">
        <f>IF(OR($C4="",$D4&lt;&gt;"Sim"),"",IF(COUNTIFS(RASTREABILIDADE!$A:$A,"C2",RASTREABILIDADE!$G:$G,$C4,RASTREABILIDADE!$H:$H,"Sim",RASTREABILIDADE!$C:$C,IF(RESUMO!$B$5="Todas","&lt;&gt;",RESUMO!$B$5),RASTREABILIDADE!$B:$B,IF(RESUMO!$B$6="Todas","&lt;&gt;",RESUMO!$B$6))&gt;0,1,0))</f>
        <v/>
      </c>
    </row>
    <row r="5">
      <c r="A5" s="47">
        <v>5.0</v>
      </c>
      <c r="B5" s="47" t="str">
        <f>IF(GABARITO!$B5="","",IF(COUNTIF(GABARITO!$B$4:$B5,GABARITO!$B5)=1,GABARITO!$B5,""))</f>
        <v>RN03</v>
      </c>
      <c r="C5" s="47" t="str">
        <f>IF(GABARITO!$G5="","",GABARITO!$G5)</f>
        <v>SC02</v>
      </c>
      <c r="D5" s="47" t="str">
        <f>IF(GABARITO!$J5="","",GABARITO!$J5)</f>
        <v>Não</v>
      </c>
      <c r="E5" s="47">
        <f>IFERROR(__xludf.DUMMYFUNCTION("IF($B5="""","""",IF(SUMPRODUCT((RASTREABILIDADE!$A$2:$A$2000=""C0"")*(RASTREABILIDADE!$F$2:$F$2000=""Sim"")*REGEXMATCH(RASTREABILIDADE!$E$2:$E$2000,""(^|[^A-Za-z0-9])""&amp;$B5&amp;""($|[^A-Za-z0-9])"")*(((RESUMO!$B$5=""Todas"")+(RASTREABILIDADE!$C$2:$C$2000=RESU"&amp;"MO!$B$5))&gt;0)*(((RESUMO!$B$6=""Todas"")+(RASTREABILIDADE!$B$2:$B$2000=RESUMO!$B$6))&gt;0))&gt;0,1,0))"),1.0)</f>
        <v>1</v>
      </c>
      <c r="F5" s="47">
        <f>IFERROR(__xludf.DUMMYFUNCTION("IF($B5="""","""",IF(SUMPRODUCT((RASTREABILIDADE!$A$2:$A$2000=""C1"")*(RASTREABILIDADE!$F$2:$F$2000=""Sim"")*REGEXMATCH(RASTREABILIDADE!$E$2:$E$2000,""(^|[^A-Za-z0-9])""&amp;$B5&amp;""($|[^A-Za-z0-9])"")*(((RESUMO!$B$5=""Todas"")+(RASTREABILIDADE!$C$2:$C$2000=RESU"&amp;"MO!$B$5))&gt;0)*(((RESUMO!$B$6=""Todas"")+(RASTREABILIDADE!$B$2:$B$2000=RESUMO!$B$6))&gt;0))&gt;0,1,0))"),1.0)</f>
        <v>1</v>
      </c>
      <c r="G5" s="47">
        <f>IFERROR(__xludf.DUMMYFUNCTION("IF($B5="""","""",IF(SUMPRODUCT((RASTREABILIDADE!$A$2:$A$2000=""C2"")*(RASTREABILIDADE!$F$2:$F$2000=""Sim"")*REGEXMATCH(RASTREABILIDADE!$E$2:$E$2000,""(^|[^A-Za-z0-9])""&amp;$B5&amp;""($|[^A-Za-z0-9])"")*(((RESUMO!$B$5=""Todas"")+(RASTREABILIDADE!$C$2:$C$2000=RESU"&amp;"MO!$B$5))&gt;0)*(((RESUMO!$B$6=""Todas"")+(RASTREABILIDADE!$B$2:$B$2000=RESUMO!$B$6))&gt;0))&gt;0,1,0))"),1.0)</f>
        <v>1</v>
      </c>
      <c r="H5" s="47" t="str">
        <f>IF(OR($C5="",$D5&lt;&gt;"Sim"),"",IF(COUNTIFS(RASTREABILIDADE!$A:$A,"C0",RASTREABILIDADE!$G:$G,$C5,RASTREABILIDADE!$H:$H,"Sim",RASTREABILIDADE!$C:$C,IF(RESUMO!$B$5="Todas","&lt;&gt;",RESUMO!$B$5),RASTREABILIDADE!$B:$B,IF(RESUMO!$B$6="Todas","&lt;&gt;",RESUMO!$B$6))&gt;0,1,0))</f>
        <v/>
      </c>
      <c r="I5" s="47" t="str">
        <f>IF(OR($C5="",$D5&lt;&gt;"Sim"),"",IF(COUNTIFS(RASTREABILIDADE!$A:$A,"C1",RASTREABILIDADE!$G:$G,$C5,RASTREABILIDADE!$H:$H,"Sim",RASTREABILIDADE!$C:$C,IF(RESUMO!$B$5="Todas","&lt;&gt;",RESUMO!$B$5),RASTREABILIDADE!$B:$B,IF(RESUMO!$B$6="Todas","&lt;&gt;",RESUMO!$B$6))&gt;0,1,0))</f>
        <v/>
      </c>
      <c r="J5" s="47" t="str">
        <f>IF(OR($C5="",$D5&lt;&gt;"Sim"),"",IF(COUNTIFS(RASTREABILIDADE!$A:$A,"C2",RASTREABILIDADE!$G:$G,$C5,RASTREABILIDADE!$H:$H,"Sim",RASTREABILIDADE!$C:$C,IF(RESUMO!$B$5="Todas","&lt;&gt;",RESUMO!$B$5),RASTREABILIDADE!$B:$B,IF(RESUMO!$B$6="Todas","&lt;&gt;",RESUMO!$B$6))&gt;0,1,0))</f>
        <v/>
      </c>
    </row>
    <row r="6">
      <c r="A6" s="47">
        <v>6.0</v>
      </c>
      <c r="B6" s="47" t="str">
        <f>IF(GABARITO!$B6="","",IF(COUNTIF(GABARITO!$B$4:$B6,GABARITO!$B6)=1,GABARITO!$B6,""))</f>
        <v>RN04</v>
      </c>
      <c r="C6" s="47" t="str">
        <f>IF(GABARITO!$G6="","",GABARITO!$G6)</f>
        <v>SC03</v>
      </c>
      <c r="D6" s="47" t="str">
        <f>IF(GABARITO!$J6="","",GABARITO!$J6)</f>
        <v>Não</v>
      </c>
      <c r="E6" s="47">
        <f>IFERROR(__xludf.DUMMYFUNCTION("IF($B6="""","""",IF(SUMPRODUCT((RASTREABILIDADE!$A$2:$A$2000=""C0"")*(RASTREABILIDADE!$F$2:$F$2000=""Sim"")*REGEXMATCH(RASTREABILIDADE!$E$2:$E$2000,""(^|[^A-Za-z0-9])""&amp;$B6&amp;""($|[^A-Za-z0-9])"")*(((RESUMO!$B$5=""Todas"")+(RASTREABILIDADE!$C$2:$C$2000=RESU"&amp;"MO!$B$5))&gt;0)*(((RESUMO!$B$6=""Todas"")+(RASTREABILIDADE!$B$2:$B$2000=RESUMO!$B$6))&gt;0))&gt;0,1,0))"),1.0)</f>
        <v>1</v>
      </c>
      <c r="F6" s="47">
        <f>IFERROR(__xludf.DUMMYFUNCTION("IF($B6="""","""",IF(SUMPRODUCT((RASTREABILIDADE!$A$2:$A$2000=""C1"")*(RASTREABILIDADE!$F$2:$F$2000=""Sim"")*REGEXMATCH(RASTREABILIDADE!$E$2:$E$2000,""(^|[^A-Za-z0-9])""&amp;$B6&amp;""($|[^A-Za-z0-9])"")*(((RESUMO!$B$5=""Todas"")+(RASTREABILIDADE!$C$2:$C$2000=RESU"&amp;"MO!$B$5))&gt;0)*(((RESUMO!$B$6=""Todas"")+(RASTREABILIDADE!$B$2:$B$2000=RESUMO!$B$6))&gt;0))&gt;0,1,0))"),1.0)</f>
        <v>1</v>
      </c>
      <c r="G6" s="47">
        <f>IFERROR(__xludf.DUMMYFUNCTION("IF($B6="""","""",IF(SUMPRODUCT((RASTREABILIDADE!$A$2:$A$2000=""C2"")*(RASTREABILIDADE!$F$2:$F$2000=""Sim"")*REGEXMATCH(RASTREABILIDADE!$E$2:$E$2000,""(^|[^A-Za-z0-9])""&amp;$B6&amp;""($|[^A-Za-z0-9])"")*(((RESUMO!$B$5=""Todas"")+(RASTREABILIDADE!$C$2:$C$2000=RESU"&amp;"MO!$B$5))&gt;0)*(((RESUMO!$B$6=""Todas"")+(RASTREABILIDADE!$B$2:$B$2000=RESUMO!$B$6))&gt;0))&gt;0,1,0))"),1.0)</f>
        <v>1</v>
      </c>
      <c r="H6" s="47" t="str">
        <f>IF(OR($C6="",$D6&lt;&gt;"Sim"),"",IF(COUNTIFS(RASTREABILIDADE!$A:$A,"C0",RASTREABILIDADE!$G:$G,$C6,RASTREABILIDADE!$H:$H,"Sim",RASTREABILIDADE!$C:$C,IF(RESUMO!$B$5="Todas","&lt;&gt;",RESUMO!$B$5),RASTREABILIDADE!$B:$B,IF(RESUMO!$B$6="Todas","&lt;&gt;",RESUMO!$B$6))&gt;0,1,0))</f>
        <v/>
      </c>
      <c r="I6" s="47" t="str">
        <f>IF(OR($C6="",$D6&lt;&gt;"Sim"),"",IF(COUNTIFS(RASTREABILIDADE!$A:$A,"C1",RASTREABILIDADE!$G:$G,$C6,RASTREABILIDADE!$H:$H,"Sim",RASTREABILIDADE!$C:$C,IF(RESUMO!$B$5="Todas","&lt;&gt;",RESUMO!$B$5),RASTREABILIDADE!$B:$B,IF(RESUMO!$B$6="Todas","&lt;&gt;",RESUMO!$B$6))&gt;0,1,0))</f>
        <v/>
      </c>
      <c r="J6" s="47" t="str">
        <f>IF(OR($C6="",$D6&lt;&gt;"Sim"),"",IF(COUNTIFS(RASTREABILIDADE!$A:$A,"C2",RASTREABILIDADE!$G:$G,$C6,RASTREABILIDADE!$H:$H,"Sim",RASTREABILIDADE!$C:$C,IF(RESUMO!$B$5="Todas","&lt;&gt;",RESUMO!$B$5),RASTREABILIDADE!$B:$B,IF(RESUMO!$B$6="Todas","&lt;&gt;",RESUMO!$B$6))&gt;0,1,0))</f>
        <v/>
      </c>
    </row>
    <row r="7">
      <c r="A7" s="47">
        <v>7.0</v>
      </c>
      <c r="B7" s="47" t="str">
        <f>IF(GABARITO!$B7="","",IF(COUNTIF(GABARITO!$B$4:$B7,GABARITO!$B7)=1,GABARITO!$B7,""))</f>
        <v/>
      </c>
      <c r="C7" s="47" t="str">
        <f>IF(GABARITO!$G7="","",GABARITO!$G7)</f>
        <v>SC04</v>
      </c>
      <c r="D7" s="47" t="str">
        <f>IF(GABARITO!$J7="","",GABARITO!$J7)</f>
        <v>Não</v>
      </c>
      <c r="E7" s="47" t="str">
        <f>IFERROR(__xludf.DUMMYFUNCTION("IF($B7="""","""",IF(SUMPRODUCT((RASTREABILIDADE!$A$2:$A$2000=""C0"")*(RASTREABILIDADE!$F$2:$F$2000=""Sim"")*REGEXMATCH(RASTREABILIDADE!$E$2:$E$2000,""(^|[^A-Za-z0-9])""&amp;$B7&amp;""($|[^A-Za-z0-9])"")*(((RESUMO!$B$5=""Todas"")+(RASTREABILIDADE!$C$2:$C$2000=RESU"&amp;"MO!$B$5))&gt;0)*(((RESUMO!$B$6=""Todas"")+(RASTREABILIDADE!$B$2:$B$2000=RESUMO!$B$6))&gt;0))&gt;0,1,0))"),"")</f>
        <v/>
      </c>
      <c r="F7" s="47" t="str">
        <f>IFERROR(__xludf.DUMMYFUNCTION("IF($B7="""","""",IF(SUMPRODUCT((RASTREABILIDADE!$A$2:$A$2000=""C1"")*(RASTREABILIDADE!$F$2:$F$2000=""Sim"")*REGEXMATCH(RASTREABILIDADE!$E$2:$E$2000,""(^|[^A-Za-z0-9])""&amp;$B7&amp;""($|[^A-Za-z0-9])"")*(((RESUMO!$B$5=""Todas"")+(RASTREABILIDADE!$C$2:$C$2000=RESU"&amp;"MO!$B$5))&gt;0)*(((RESUMO!$B$6=""Todas"")+(RASTREABILIDADE!$B$2:$B$2000=RESUMO!$B$6))&gt;0))&gt;0,1,0))"),"")</f>
        <v/>
      </c>
      <c r="G7" s="47" t="str">
        <f>IFERROR(__xludf.DUMMYFUNCTION("IF($B7="""","""",IF(SUMPRODUCT((RASTREABILIDADE!$A$2:$A$2000=""C2"")*(RASTREABILIDADE!$F$2:$F$2000=""Sim"")*REGEXMATCH(RASTREABILIDADE!$E$2:$E$2000,""(^|[^A-Za-z0-9])""&amp;$B7&amp;""($|[^A-Za-z0-9])"")*(((RESUMO!$B$5=""Todas"")+(RASTREABILIDADE!$C$2:$C$2000=RESU"&amp;"MO!$B$5))&gt;0)*(((RESUMO!$B$6=""Todas"")+(RASTREABILIDADE!$B$2:$B$2000=RESUMO!$B$6))&gt;0))&gt;0,1,0))"),"")</f>
        <v/>
      </c>
      <c r="H7" s="47" t="str">
        <f>IF(OR($C7="",$D7&lt;&gt;"Sim"),"",IF(COUNTIFS(RASTREABILIDADE!$A:$A,"C0",RASTREABILIDADE!$G:$G,$C7,RASTREABILIDADE!$H:$H,"Sim",RASTREABILIDADE!$C:$C,IF(RESUMO!$B$5="Todas","&lt;&gt;",RESUMO!$B$5),RASTREABILIDADE!$B:$B,IF(RESUMO!$B$6="Todas","&lt;&gt;",RESUMO!$B$6))&gt;0,1,0))</f>
        <v/>
      </c>
      <c r="I7" s="47" t="str">
        <f>IF(OR($C7="",$D7&lt;&gt;"Sim"),"",IF(COUNTIFS(RASTREABILIDADE!$A:$A,"C1",RASTREABILIDADE!$G:$G,$C7,RASTREABILIDADE!$H:$H,"Sim",RASTREABILIDADE!$C:$C,IF(RESUMO!$B$5="Todas","&lt;&gt;",RESUMO!$B$5),RASTREABILIDADE!$B:$B,IF(RESUMO!$B$6="Todas","&lt;&gt;",RESUMO!$B$6))&gt;0,1,0))</f>
        <v/>
      </c>
      <c r="J7" s="47" t="str">
        <f>IF(OR($C7="",$D7&lt;&gt;"Sim"),"",IF(COUNTIFS(RASTREABILIDADE!$A:$A,"C2",RASTREABILIDADE!$G:$G,$C7,RASTREABILIDADE!$H:$H,"Sim",RASTREABILIDADE!$C:$C,IF(RESUMO!$B$5="Todas","&lt;&gt;",RESUMO!$B$5),RASTREABILIDADE!$B:$B,IF(RESUMO!$B$6="Todas","&lt;&gt;",RESUMO!$B$6))&gt;0,1,0))</f>
        <v/>
      </c>
    </row>
    <row r="8">
      <c r="A8" s="47">
        <v>8.0</v>
      </c>
      <c r="B8" s="47" t="str">
        <f>IF(GABARITO!$B8="","",IF(COUNTIF(GABARITO!$B$4:$B8,GABARITO!$B8)=1,GABARITO!$B8,""))</f>
        <v>RN05</v>
      </c>
      <c r="C8" s="47" t="str">
        <f>IF(GABARITO!$G8="","",GABARITO!$G8)</f>
        <v>SC05</v>
      </c>
      <c r="D8" s="47" t="str">
        <f>IF(GABARITO!$J8="","",GABARITO!$J8)</f>
        <v>Sim</v>
      </c>
      <c r="E8" s="47">
        <f>IFERROR(__xludf.DUMMYFUNCTION("IF($B8="""","""",IF(SUMPRODUCT((RASTREABILIDADE!$A$2:$A$2000=""C0"")*(RASTREABILIDADE!$F$2:$F$2000=""Sim"")*REGEXMATCH(RASTREABILIDADE!$E$2:$E$2000,""(^|[^A-Za-z0-9])""&amp;$B8&amp;""($|[^A-Za-z0-9])"")*(((RESUMO!$B$5=""Todas"")+(RASTREABILIDADE!$C$2:$C$2000=RESU"&amp;"MO!$B$5))&gt;0)*(((RESUMO!$B$6=""Todas"")+(RASTREABILIDADE!$B$2:$B$2000=RESUMO!$B$6))&gt;0))&gt;0,1,0))"),0.0)</f>
        <v>0</v>
      </c>
      <c r="F8" s="47">
        <f>IFERROR(__xludf.DUMMYFUNCTION("IF($B8="""","""",IF(SUMPRODUCT((RASTREABILIDADE!$A$2:$A$2000=""C1"")*(RASTREABILIDADE!$F$2:$F$2000=""Sim"")*REGEXMATCH(RASTREABILIDADE!$E$2:$E$2000,""(^|[^A-Za-z0-9])""&amp;$B8&amp;""($|[^A-Za-z0-9])"")*(((RESUMO!$B$5=""Todas"")+(RASTREABILIDADE!$C$2:$C$2000=RESU"&amp;"MO!$B$5))&gt;0)*(((RESUMO!$B$6=""Todas"")+(RASTREABILIDADE!$B$2:$B$2000=RESUMO!$B$6))&gt;0))&gt;0,1,0))"),1.0)</f>
        <v>1</v>
      </c>
      <c r="G8" s="47">
        <f>IFERROR(__xludf.DUMMYFUNCTION("IF($B8="""","""",IF(SUMPRODUCT((RASTREABILIDADE!$A$2:$A$2000=""C2"")*(RASTREABILIDADE!$F$2:$F$2000=""Sim"")*REGEXMATCH(RASTREABILIDADE!$E$2:$E$2000,""(^|[^A-Za-z0-9])""&amp;$B8&amp;""($|[^A-Za-z0-9])"")*(((RESUMO!$B$5=""Todas"")+(RASTREABILIDADE!$C$2:$C$2000=RESU"&amp;"MO!$B$5))&gt;0)*(((RESUMO!$B$6=""Todas"")+(RASTREABILIDADE!$B$2:$B$2000=RESUMO!$B$6))&gt;0))&gt;0,1,0))"),1.0)</f>
        <v>1</v>
      </c>
      <c r="H8" s="47">
        <f>IF(OR($C8="",$D8&lt;&gt;"Sim"),"",IF(COUNTIFS(RASTREABILIDADE!$A:$A,"C0",RASTREABILIDADE!$G:$G,$C8,RASTREABILIDADE!$H:$H,"Sim",RASTREABILIDADE!$C:$C,IF(RESUMO!$B$5="Todas","&lt;&gt;",RESUMO!$B$5),RASTREABILIDADE!$B:$B,IF(RESUMO!$B$6="Todas","&lt;&gt;",RESUMO!$B$6))&gt;0,1,0))</f>
        <v>0</v>
      </c>
      <c r="I8" s="47">
        <f>IF(OR($C8="",$D8&lt;&gt;"Sim"),"",IF(COUNTIFS(RASTREABILIDADE!$A:$A,"C1",RASTREABILIDADE!$G:$G,$C8,RASTREABILIDADE!$H:$H,"Sim",RASTREABILIDADE!$C:$C,IF(RESUMO!$B$5="Todas","&lt;&gt;",RESUMO!$B$5),RASTREABILIDADE!$B:$B,IF(RESUMO!$B$6="Todas","&lt;&gt;",RESUMO!$B$6))&gt;0,1,0))</f>
        <v>1</v>
      </c>
      <c r="J8" s="47">
        <f>IF(OR($C8="",$D8&lt;&gt;"Sim"),"",IF(COUNTIFS(RASTREABILIDADE!$A:$A,"C2",RASTREABILIDADE!$G:$G,$C8,RASTREABILIDADE!$H:$H,"Sim",RASTREABILIDADE!$C:$C,IF(RESUMO!$B$5="Todas","&lt;&gt;",RESUMO!$B$5),RASTREABILIDADE!$B:$B,IF(RESUMO!$B$6="Todas","&lt;&gt;",RESUMO!$B$6))&gt;0,1,0))</f>
        <v>1</v>
      </c>
    </row>
    <row r="9">
      <c r="A9" s="47">
        <v>9.0</v>
      </c>
      <c r="B9" s="47" t="str">
        <f>IF(GABARITO!$B9="","",IF(COUNTIF(GABARITO!$B$4:$B9,GABARITO!$B9)=1,GABARITO!$B9,""))</f>
        <v>RN06</v>
      </c>
      <c r="C9" s="47" t="str">
        <f>IF(GABARITO!$G9="","",GABARITO!$G9)</f>
        <v>SC06</v>
      </c>
      <c r="D9" s="47" t="str">
        <f>IF(GABARITO!$J9="","",GABARITO!$J9)</f>
        <v>Não</v>
      </c>
      <c r="E9" s="47">
        <f>IFERROR(__xludf.DUMMYFUNCTION("IF($B9="""","""",IF(SUMPRODUCT((RASTREABILIDADE!$A$2:$A$2000=""C0"")*(RASTREABILIDADE!$F$2:$F$2000=""Sim"")*REGEXMATCH(RASTREABILIDADE!$E$2:$E$2000,""(^|[^A-Za-z0-9])""&amp;$B9&amp;""($|[^A-Za-z0-9])"")*(((RESUMO!$B$5=""Todas"")+(RASTREABILIDADE!$C$2:$C$2000=RESU"&amp;"MO!$B$5))&gt;0)*(((RESUMO!$B$6=""Todas"")+(RASTREABILIDADE!$B$2:$B$2000=RESUMO!$B$6))&gt;0))&gt;0,1,0))"),1.0)</f>
        <v>1</v>
      </c>
      <c r="F9" s="47">
        <f>IFERROR(__xludf.DUMMYFUNCTION("IF($B9="""","""",IF(SUMPRODUCT((RASTREABILIDADE!$A$2:$A$2000=""C1"")*(RASTREABILIDADE!$F$2:$F$2000=""Sim"")*REGEXMATCH(RASTREABILIDADE!$E$2:$E$2000,""(^|[^A-Za-z0-9])""&amp;$B9&amp;""($|[^A-Za-z0-9])"")*(((RESUMO!$B$5=""Todas"")+(RASTREABILIDADE!$C$2:$C$2000=RESU"&amp;"MO!$B$5))&gt;0)*(((RESUMO!$B$6=""Todas"")+(RASTREABILIDADE!$B$2:$B$2000=RESUMO!$B$6))&gt;0))&gt;0,1,0))"),1.0)</f>
        <v>1</v>
      </c>
      <c r="G9" s="47">
        <f>IFERROR(__xludf.DUMMYFUNCTION("IF($B9="""","""",IF(SUMPRODUCT((RASTREABILIDADE!$A$2:$A$2000=""C2"")*(RASTREABILIDADE!$F$2:$F$2000=""Sim"")*REGEXMATCH(RASTREABILIDADE!$E$2:$E$2000,""(^|[^A-Za-z0-9])""&amp;$B9&amp;""($|[^A-Za-z0-9])"")*(((RESUMO!$B$5=""Todas"")+(RASTREABILIDADE!$C$2:$C$2000=RESU"&amp;"MO!$B$5))&gt;0)*(((RESUMO!$B$6=""Todas"")+(RASTREABILIDADE!$B$2:$B$2000=RESUMO!$B$6))&gt;0))&gt;0,1,0))"),1.0)</f>
        <v>1</v>
      </c>
      <c r="H9" s="47" t="str">
        <f>IF(OR($C9="",$D9&lt;&gt;"Sim"),"",IF(COUNTIFS(RASTREABILIDADE!$A:$A,"C0",RASTREABILIDADE!$G:$G,$C9,RASTREABILIDADE!$H:$H,"Sim",RASTREABILIDADE!$C:$C,IF(RESUMO!$B$5="Todas","&lt;&gt;",RESUMO!$B$5),RASTREABILIDADE!$B:$B,IF(RESUMO!$B$6="Todas","&lt;&gt;",RESUMO!$B$6))&gt;0,1,0))</f>
        <v/>
      </c>
      <c r="I9" s="47" t="str">
        <f>IF(OR($C9="",$D9&lt;&gt;"Sim"),"",IF(COUNTIFS(RASTREABILIDADE!$A:$A,"C1",RASTREABILIDADE!$G:$G,$C9,RASTREABILIDADE!$H:$H,"Sim",RASTREABILIDADE!$C:$C,IF(RESUMO!$B$5="Todas","&lt;&gt;",RESUMO!$B$5),RASTREABILIDADE!$B:$B,IF(RESUMO!$B$6="Todas","&lt;&gt;",RESUMO!$B$6))&gt;0,1,0))</f>
        <v/>
      </c>
      <c r="J9" s="47" t="str">
        <f>IF(OR($C9="",$D9&lt;&gt;"Sim"),"",IF(COUNTIFS(RASTREABILIDADE!$A:$A,"C2",RASTREABILIDADE!$G:$G,$C9,RASTREABILIDADE!$H:$H,"Sim",RASTREABILIDADE!$C:$C,IF(RESUMO!$B$5="Todas","&lt;&gt;",RESUMO!$B$5),RASTREABILIDADE!$B:$B,IF(RESUMO!$B$6="Todas","&lt;&gt;",RESUMO!$B$6))&gt;0,1,0))</f>
        <v/>
      </c>
    </row>
    <row r="10">
      <c r="A10" s="47">
        <v>10.0</v>
      </c>
      <c r="B10" s="47" t="str">
        <f>IF(GABARITO!$B10="","",IF(COUNTIF(GABARITO!$B$4:$B10,GABARITO!$B10)=1,GABARITO!$B10,""))</f>
        <v>RN07</v>
      </c>
      <c r="C10" s="47" t="str">
        <f>IF(GABARITO!$G10="","",GABARITO!$G10)</f>
        <v>SC06</v>
      </c>
      <c r="D10" s="47" t="str">
        <f>IF(GABARITO!$J10="","",GABARITO!$J10)</f>
        <v>Não</v>
      </c>
      <c r="E10" s="47">
        <f>IFERROR(__xludf.DUMMYFUNCTION("IF($B10="""","""",IF(SUMPRODUCT((RASTREABILIDADE!$A$2:$A$2000=""C0"")*(RASTREABILIDADE!$F$2:$F$2000=""Sim"")*REGEXMATCH(RASTREABILIDADE!$E$2:$E$2000,""(^|[^A-Za-z0-9])""&amp;$B10&amp;""($|[^A-Za-z0-9])"")*(((RESUMO!$B$5=""Todas"")+(RASTREABILIDADE!$C$2:$C$2000=RE"&amp;"SUMO!$B$5))&gt;0)*(((RESUMO!$B$6=""Todas"")+(RASTREABILIDADE!$B$2:$B$2000=RESUMO!$B$6))&gt;0))&gt;0,1,0))"),1.0)</f>
        <v>1</v>
      </c>
      <c r="F10" s="47">
        <f>IFERROR(__xludf.DUMMYFUNCTION("IF($B10="""","""",IF(SUMPRODUCT((RASTREABILIDADE!$A$2:$A$2000=""C1"")*(RASTREABILIDADE!$F$2:$F$2000=""Sim"")*REGEXMATCH(RASTREABILIDADE!$E$2:$E$2000,""(^|[^A-Za-z0-9])""&amp;$B10&amp;""($|[^A-Za-z0-9])"")*(((RESUMO!$B$5=""Todas"")+(RASTREABILIDADE!$C$2:$C$2000=RE"&amp;"SUMO!$B$5))&gt;0)*(((RESUMO!$B$6=""Todas"")+(RASTREABILIDADE!$B$2:$B$2000=RESUMO!$B$6))&gt;0))&gt;0,1,0))"),1.0)</f>
        <v>1</v>
      </c>
      <c r="G10" s="47">
        <f>IFERROR(__xludf.DUMMYFUNCTION("IF($B10="""","""",IF(SUMPRODUCT((RASTREABILIDADE!$A$2:$A$2000=""C2"")*(RASTREABILIDADE!$F$2:$F$2000=""Sim"")*REGEXMATCH(RASTREABILIDADE!$E$2:$E$2000,""(^|[^A-Za-z0-9])""&amp;$B10&amp;""($|[^A-Za-z0-9])"")*(((RESUMO!$B$5=""Todas"")+(RASTREABILIDADE!$C$2:$C$2000=RE"&amp;"SUMO!$B$5))&gt;0)*(((RESUMO!$B$6=""Todas"")+(RASTREABILIDADE!$B$2:$B$2000=RESUMO!$B$6))&gt;0))&gt;0,1,0))"),1.0)</f>
        <v>1</v>
      </c>
      <c r="H10" s="47" t="str">
        <f>IF(OR($C10="",$D10&lt;&gt;"Sim"),"",IF(COUNTIFS(RASTREABILIDADE!$A:$A,"C0",RASTREABILIDADE!$G:$G,$C10,RASTREABILIDADE!$H:$H,"Sim",RASTREABILIDADE!$C:$C,IF(RESUMO!$B$5="Todas","&lt;&gt;",RESUMO!$B$5),RASTREABILIDADE!$B:$B,IF(RESUMO!$B$6="Todas","&lt;&gt;",RESUMO!$B$6))&gt;0,1,0))</f>
        <v/>
      </c>
      <c r="I10" s="47" t="str">
        <f>IF(OR($C10="",$D10&lt;&gt;"Sim"),"",IF(COUNTIFS(RASTREABILIDADE!$A:$A,"C1",RASTREABILIDADE!$G:$G,$C10,RASTREABILIDADE!$H:$H,"Sim",RASTREABILIDADE!$C:$C,IF(RESUMO!$B$5="Todas","&lt;&gt;",RESUMO!$B$5),RASTREABILIDADE!$B:$B,IF(RESUMO!$B$6="Todas","&lt;&gt;",RESUMO!$B$6))&gt;0,1,0))</f>
        <v/>
      </c>
      <c r="J10" s="47" t="str">
        <f>IF(OR($C10="",$D10&lt;&gt;"Sim"),"",IF(COUNTIFS(RASTREABILIDADE!$A:$A,"C2",RASTREABILIDADE!$G:$G,$C10,RASTREABILIDADE!$H:$H,"Sim",RASTREABILIDADE!$C:$C,IF(RESUMO!$B$5="Todas","&lt;&gt;",RESUMO!$B$5),RASTREABILIDADE!$B:$B,IF(RESUMO!$B$6="Todas","&lt;&gt;",RESUMO!$B$6))&gt;0,1,0))</f>
        <v/>
      </c>
    </row>
    <row r="11">
      <c r="A11" s="47">
        <v>11.0</v>
      </c>
      <c r="B11" s="47" t="str">
        <f>IF(GABARITO!$B12="","",IF(COUNTIF(GABARITO!$B$4:$B12,GABARITO!$B12)=1,GABARITO!$B12,""))</f>
        <v>RN08</v>
      </c>
      <c r="C11" s="47" t="str">
        <f>IF(GABARITO!$G12="","",GABARITO!$G12)</f>
        <v>SC07</v>
      </c>
      <c r="D11" s="47" t="str">
        <f>IF(GABARITO!$J12="","",GABARITO!$J12)</f>
        <v>Não</v>
      </c>
      <c r="E11" s="47">
        <f>IFERROR(__xludf.DUMMYFUNCTION("IF($B11="""","""",IF(SUMPRODUCT((RASTREABILIDADE!$A$2:$A$2000=""C0"")*(RASTREABILIDADE!$F$2:$F$2000=""Sim"")*REGEXMATCH(RASTREABILIDADE!$E$2:$E$2000,""(^|[^A-Za-z0-9])""&amp;$B11&amp;""($|[^A-Za-z0-9])"")*(((RESUMO!$B$5=""Todas"")+(RASTREABILIDADE!$C$2:$C$2000=RE"&amp;"SUMO!$B$5))&gt;0)*(((RESUMO!$B$6=""Todas"")+(RASTREABILIDADE!$B$2:$B$2000=RESUMO!$B$6))&gt;0))&gt;0,1,0))"),1.0)</f>
        <v>1</v>
      </c>
      <c r="F11" s="47">
        <f>IFERROR(__xludf.DUMMYFUNCTION("IF($B11="""","""",IF(SUMPRODUCT((RASTREABILIDADE!$A$2:$A$2000=""C1"")*(RASTREABILIDADE!$F$2:$F$2000=""Sim"")*REGEXMATCH(RASTREABILIDADE!$E$2:$E$2000,""(^|[^A-Za-z0-9])""&amp;$B11&amp;""($|[^A-Za-z0-9])"")*(((RESUMO!$B$5=""Todas"")+(RASTREABILIDADE!$C$2:$C$2000=RE"&amp;"SUMO!$B$5))&gt;0)*(((RESUMO!$B$6=""Todas"")+(RASTREABILIDADE!$B$2:$B$2000=RESUMO!$B$6))&gt;0))&gt;0,1,0))"),1.0)</f>
        <v>1</v>
      </c>
      <c r="G11" s="47">
        <f>IFERROR(__xludf.DUMMYFUNCTION("IF($B11="""","""",IF(SUMPRODUCT((RASTREABILIDADE!$A$2:$A$2000=""C2"")*(RASTREABILIDADE!$F$2:$F$2000=""Sim"")*REGEXMATCH(RASTREABILIDADE!$E$2:$E$2000,""(^|[^A-Za-z0-9])""&amp;$B11&amp;""($|[^A-Za-z0-9])"")*(((RESUMO!$B$5=""Todas"")+(RASTREABILIDADE!$C$2:$C$2000=RE"&amp;"SUMO!$B$5))&gt;0)*(((RESUMO!$B$6=""Todas"")+(RASTREABILIDADE!$B$2:$B$2000=RESUMO!$B$6))&gt;0))&gt;0,1,0))"),1.0)</f>
        <v>1</v>
      </c>
      <c r="H11" s="47" t="str">
        <f>IF(OR($C11="",$D11&lt;&gt;"Sim"),"",IF(COUNTIFS(RASTREABILIDADE!$A:$A,"C0",RASTREABILIDADE!$G:$G,$C11,RASTREABILIDADE!$H:$H,"Sim",RASTREABILIDADE!$C:$C,IF(RESUMO!$B$5="Todas","&lt;&gt;",RESUMO!$B$5),RASTREABILIDADE!$B:$B,IF(RESUMO!$B$6="Todas","&lt;&gt;",RESUMO!$B$6))&gt;0,1,0))</f>
        <v/>
      </c>
      <c r="I11" s="47" t="str">
        <f>IF(OR($C11="",$D11&lt;&gt;"Sim"),"",IF(COUNTIFS(RASTREABILIDADE!$A:$A,"C1",RASTREABILIDADE!$G:$G,$C11,RASTREABILIDADE!$H:$H,"Sim",RASTREABILIDADE!$C:$C,IF(RESUMO!$B$5="Todas","&lt;&gt;",RESUMO!$B$5),RASTREABILIDADE!$B:$B,IF(RESUMO!$B$6="Todas","&lt;&gt;",RESUMO!$B$6))&gt;0,1,0))</f>
        <v/>
      </c>
      <c r="J11" s="47" t="str">
        <f>IF(OR($C11="",$D11&lt;&gt;"Sim"),"",IF(COUNTIFS(RASTREABILIDADE!$A:$A,"C2",RASTREABILIDADE!$G:$G,$C11,RASTREABILIDADE!$H:$H,"Sim",RASTREABILIDADE!$C:$C,IF(RESUMO!$B$5="Todas","&lt;&gt;",RESUMO!$B$5),RASTREABILIDADE!$B:$B,IF(RESUMO!$B$6="Todas","&lt;&gt;",RESUMO!$B$6))&gt;0,1,0))</f>
        <v/>
      </c>
    </row>
    <row r="12">
      <c r="A12" s="47">
        <v>12.0</v>
      </c>
      <c r="B12" s="47" t="str">
        <f>IF(GABARITO!$B13="","",IF(COUNTIF(GABARITO!$B$4:$B13,GABARITO!$B13)=1,GABARITO!$B13,""))</f>
        <v>RN09</v>
      </c>
      <c r="C12" s="47" t="str">
        <f>IF(GABARITO!$G13="","",GABARITO!$G13)</f>
        <v>SC08</v>
      </c>
      <c r="D12" s="47" t="str">
        <f>IF(GABARITO!$J13="","",GABARITO!$J13)</f>
        <v>Sim</v>
      </c>
      <c r="E12" s="47">
        <f>IFERROR(__xludf.DUMMYFUNCTION("IF($B12="""","""",IF(SUMPRODUCT((RASTREABILIDADE!$A$2:$A$2000=""C0"")*(RASTREABILIDADE!$F$2:$F$2000=""Sim"")*REGEXMATCH(RASTREABILIDADE!$E$2:$E$2000,""(^|[^A-Za-z0-9])""&amp;$B12&amp;""($|[^A-Za-z0-9])"")*(((RESUMO!$B$5=""Todas"")+(RASTREABILIDADE!$C$2:$C$2000=RE"&amp;"SUMO!$B$5))&gt;0)*(((RESUMO!$B$6=""Todas"")+(RASTREABILIDADE!$B$2:$B$2000=RESUMO!$B$6))&gt;0))&gt;0,1,0))"),0.0)</f>
        <v>0</v>
      </c>
      <c r="F12" s="47">
        <f>IFERROR(__xludf.DUMMYFUNCTION("IF($B12="""","""",IF(SUMPRODUCT((RASTREABILIDADE!$A$2:$A$2000=""C1"")*(RASTREABILIDADE!$F$2:$F$2000=""Sim"")*REGEXMATCH(RASTREABILIDADE!$E$2:$E$2000,""(^|[^A-Za-z0-9])""&amp;$B12&amp;""($|[^A-Za-z0-9])"")*(((RESUMO!$B$5=""Todas"")+(RASTREABILIDADE!$C$2:$C$2000=RE"&amp;"SUMO!$B$5))&gt;0)*(((RESUMO!$B$6=""Todas"")+(RASTREABILIDADE!$B$2:$B$2000=RESUMO!$B$6))&gt;0))&gt;0,1,0))"),1.0)</f>
        <v>1</v>
      </c>
      <c r="G12" s="47">
        <f>IFERROR(__xludf.DUMMYFUNCTION("IF($B12="""","""",IF(SUMPRODUCT((RASTREABILIDADE!$A$2:$A$2000=""C2"")*(RASTREABILIDADE!$F$2:$F$2000=""Sim"")*REGEXMATCH(RASTREABILIDADE!$E$2:$E$2000,""(^|[^A-Za-z0-9])""&amp;$B12&amp;""($|[^A-Za-z0-9])"")*(((RESUMO!$B$5=""Todas"")+(RASTREABILIDADE!$C$2:$C$2000=RE"&amp;"SUMO!$B$5))&gt;0)*(((RESUMO!$B$6=""Todas"")+(RASTREABILIDADE!$B$2:$B$2000=RESUMO!$B$6))&gt;0))&gt;0,1,0))"),1.0)</f>
        <v>1</v>
      </c>
      <c r="H12" s="47">
        <f>IF(OR($C12="",$D12&lt;&gt;"Sim"),"",IF(COUNTIFS(RASTREABILIDADE!$A:$A,"C0",RASTREABILIDADE!$G:$G,$C12,RASTREABILIDADE!$H:$H,"Sim",RASTREABILIDADE!$C:$C,IF(RESUMO!$B$5="Todas","&lt;&gt;",RESUMO!$B$5),RASTREABILIDADE!$B:$B,IF(RESUMO!$B$6="Todas","&lt;&gt;",RESUMO!$B$6))&gt;0,1,0))</f>
        <v>0</v>
      </c>
      <c r="I12" s="47">
        <f>IF(OR($C12="",$D12&lt;&gt;"Sim"),"",IF(COUNTIFS(RASTREABILIDADE!$A:$A,"C1",RASTREABILIDADE!$G:$G,$C12,RASTREABILIDADE!$H:$H,"Sim",RASTREABILIDADE!$C:$C,IF(RESUMO!$B$5="Todas","&lt;&gt;",RESUMO!$B$5),RASTREABILIDADE!$B:$B,IF(RESUMO!$B$6="Todas","&lt;&gt;",RESUMO!$B$6))&gt;0,1,0))</f>
        <v>1</v>
      </c>
      <c r="J12" s="47">
        <f>IF(OR($C12="",$D12&lt;&gt;"Sim"),"",IF(COUNTIFS(RASTREABILIDADE!$A:$A,"C2",RASTREABILIDADE!$G:$G,$C12,RASTREABILIDADE!$H:$H,"Sim",RASTREABILIDADE!$C:$C,IF(RESUMO!$B$5="Todas","&lt;&gt;",RESUMO!$B$5),RASTREABILIDADE!$B:$B,IF(RESUMO!$B$6="Todas","&lt;&gt;",RESUMO!$B$6))&gt;0,1,0))</f>
        <v>1</v>
      </c>
    </row>
    <row r="13">
      <c r="A13" s="47">
        <v>13.0</v>
      </c>
      <c r="B13" s="47" t="str">
        <f>IF(GABARITO!$B14="","",IF(COUNTIF(GABARITO!$B$4:$B14,GABARITO!$B14)=1,GABARITO!$B14,""))</f>
        <v>RN10</v>
      </c>
      <c r="C13" s="47" t="str">
        <f>IF(GABARITO!$G14="","",GABARITO!$G14)</f>
        <v>SC09</v>
      </c>
      <c r="D13" s="47" t="str">
        <f>IF(GABARITO!$J14="","",GABARITO!$J14)</f>
        <v>Não</v>
      </c>
      <c r="E13" s="47">
        <f>IFERROR(__xludf.DUMMYFUNCTION("IF($B13="""","""",IF(SUMPRODUCT((RASTREABILIDADE!$A$2:$A$2000=""C0"")*(RASTREABILIDADE!$F$2:$F$2000=""Sim"")*REGEXMATCH(RASTREABILIDADE!$E$2:$E$2000,""(^|[^A-Za-z0-9])""&amp;$B13&amp;""($|[^A-Za-z0-9])"")*(((RESUMO!$B$5=""Todas"")+(RASTREABILIDADE!$C$2:$C$2000=RE"&amp;"SUMO!$B$5))&gt;0)*(((RESUMO!$B$6=""Todas"")+(RASTREABILIDADE!$B$2:$B$2000=RESUMO!$B$6))&gt;0))&gt;0,1,0))"),1.0)</f>
        <v>1</v>
      </c>
      <c r="F13" s="47">
        <f>IFERROR(__xludf.DUMMYFUNCTION("IF($B13="""","""",IF(SUMPRODUCT((RASTREABILIDADE!$A$2:$A$2000=""C1"")*(RASTREABILIDADE!$F$2:$F$2000=""Sim"")*REGEXMATCH(RASTREABILIDADE!$E$2:$E$2000,""(^|[^A-Za-z0-9])""&amp;$B13&amp;""($|[^A-Za-z0-9])"")*(((RESUMO!$B$5=""Todas"")+(RASTREABILIDADE!$C$2:$C$2000=RE"&amp;"SUMO!$B$5))&gt;0)*(((RESUMO!$B$6=""Todas"")+(RASTREABILIDADE!$B$2:$B$2000=RESUMO!$B$6))&gt;0))&gt;0,1,0))"),1.0)</f>
        <v>1</v>
      </c>
      <c r="G13" s="47">
        <f>IFERROR(__xludf.DUMMYFUNCTION("IF($B13="""","""",IF(SUMPRODUCT((RASTREABILIDADE!$A$2:$A$2000=""C2"")*(RASTREABILIDADE!$F$2:$F$2000=""Sim"")*REGEXMATCH(RASTREABILIDADE!$E$2:$E$2000,""(^|[^A-Za-z0-9])""&amp;$B13&amp;""($|[^A-Za-z0-9])"")*(((RESUMO!$B$5=""Todas"")+(RASTREABILIDADE!$C$2:$C$2000=RE"&amp;"SUMO!$B$5))&gt;0)*(((RESUMO!$B$6=""Todas"")+(RASTREABILIDADE!$B$2:$B$2000=RESUMO!$B$6))&gt;0))&gt;0,1,0))"),1.0)</f>
        <v>1</v>
      </c>
      <c r="H13" s="47" t="str">
        <f>IF(OR($C13="",$D13&lt;&gt;"Sim"),"",IF(COUNTIFS(RASTREABILIDADE!$A:$A,"C0",RASTREABILIDADE!$G:$G,$C13,RASTREABILIDADE!$H:$H,"Sim",RASTREABILIDADE!$C:$C,IF(RESUMO!$B$5="Todas","&lt;&gt;",RESUMO!$B$5),RASTREABILIDADE!$B:$B,IF(RESUMO!$B$6="Todas","&lt;&gt;",RESUMO!$B$6))&gt;0,1,0))</f>
        <v/>
      </c>
      <c r="I13" s="47" t="str">
        <f>IF(OR($C13="",$D13&lt;&gt;"Sim"),"",IF(COUNTIFS(RASTREABILIDADE!$A:$A,"C1",RASTREABILIDADE!$G:$G,$C13,RASTREABILIDADE!$H:$H,"Sim",RASTREABILIDADE!$C:$C,IF(RESUMO!$B$5="Todas","&lt;&gt;",RESUMO!$B$5),RASTREABILIDADE!$B:$B,IF(RESUMO!$B$6="Todas","&lt;&gt;",RESUMO!$B$6))&gt;0,1,0))</f>
        <v/>
      </c>
      <c r="J13" s="47" t="str">
        <f>IF(OR($C13="",$D13&lt;&gt;"Sim"),"",IF(COUNTIFS(RASTREABILIDADE!$A:$A,"C2",RASTREABILIDADE!$G:$G,$C13,RASTREABILIDADE!$H:$H,"Sim",RASTREABILIDADE!$C:$C,IF(RESUMO!$B$5="Todas","&lt;&gt;",RESUMO!$B$5),RASTREABILIDADE!$B:$B,IF(RESUMO!$B$6="Todas","&lt;&gt;",RESUMO!$B$6))&gt;0,1,0))</f>
        <v/>
      </c>
    </row>
    <row r="14">
      <c r="A14" s="47">
        <v>14.0</v>
      </c>
      <c r="B14" s="47" t="str">
        <f>IF(GABARITO!$B15="","",IF(COUNTIF(GABARITO!$B$4:$B15,GABARITO!$B15)=1,GABARITO!$B15,""))</f>
        <v>RN11</v>
      </c>
      <c r="C14" s="47" t="str">
        <f>IF(GABARITO!$G15="","",GABARITO!$G15)</f>
        <v>SC10</v>
      </c>
      <c r="D14" s="47" t="str">
        <f>IF(GABARITO!$J15="","",GABARITO!$J15)</f>
        <v>Não</v>
      </c>
      <c r="E14" s="47">
        <f>IFERROR(__xludf.DUMMYFUNCTION("IF($B14="""","""",IF(SUMPRODUCT((RASTREABILIDADE!$A$2:$A$2000=""C0"")*(RASTREABILIDADE!$F$2:$F$2000=""Sim"")*REGEXMATCH(RASTREABILIDADE!$E$2:$E$2000,""(^|[^A-Za-z0-9])""&amp;$B14&amp;""($|[^A-Za-z0-9])"")*(((RESUMO!$B$5=""Todas"")+(RASTREABILIDADE!$C$2:$C$2000=RE"&amp;"SUMO!$B$5))&gt;0)*(((RESUMO!$B$6=""Todas"")+(RASTREABILIDADE!$B$2:$B$2000=RESUMO!$B$6))&gt;0))&gt;0,1,0))"),1.0)</f>
        <v>1</v>
      </c>
      <c r="F14" s="47">
        <f>IFERROR(__xludf.DUMMYFUNCTION("IF($B14="""","""",IF(SUMPRODUCT((RASTREABILIDADE!$A$2:$A$2000=""C1"")*(RASTREABILIDADE!$F$2:$F$2000=""Sim"")*REGEXMATCH(RASTREABILIDADE!$E$2:$E$2000,""(^|[^A-Za-z0-9])""&amp;$B14&amp;""($|[^A-Za-z0-9])"")*(((RESUMO!$B$5=""Todas"")+(RASTREABILIDADE!$C$2:$C$2000=RE"&amp;"SUMO!$B$5))&gt;0)*(((RESUMO!$B$6=""Todas"")+(RASTREABILIDADE!$B$2:$B$2000=RESUMO!$B$6))&gt;0))&gt;0,1,0))"),1.0)</f>
        <v>1</v>
      </c>
      <c r="G14" s="47">
        <f>IFERROR(__xludf.DUMMYFUNCTION("IF($B14="""","""",IF(SUMPRODUCT((RASTREABILIDADE!$A$2:$A$2000=""C2"")*(RASTREABILIDADE!$F$2:$F$2000=""Sim"")*REGEXMATCH(RASTREABILIDADE!$E$2:$E$2000,""(^|[^A-Za-z0-9])""&amp;$B14&amp;""($|[^A-Za-z0-9])"")*(((RESUMO!$B$5=""Todas"")+(RASTREABILIDADE!$C$2:$C$2000=RE"&amp;"SUMO!$B$5))&gt;0)*(((RESUMO!$B$6=""Todas"")+(RASTREABILIDADE!$B$2:$B$2000=RESUMO!$B$6))&gt;0))&gt;0,1,0))"),1.0)</f>
        <v>1</v>
      </c>
      <c r="H14" s="47" t="str">
        <f>IF(OR($C14="",$D14&lt;&gt;"Sim"),"",IF(COUNTIFS(RASTREABILIDADE!$A:$A,"C0",RASTREABILIDADE!$G:$G,$C14,RASTREABILIDADE!$H:$H,"Sim",RASTREABILIDADE!$C:$C,IF(RESUMO!$B$5="Todas","&lt;&gt;",RESUMO!$B$5),RASTREABILIDADE!$B:$B,IF(RESUMO!$B$6="Todas","&lt;&gt;",RESUMO!$B$6))&gt;0,1,0))</f>
        <v/>
      </c>
      <c r="I14" s="47" t="str">
        <f>IF(OR($C14="",$D14&lt;&gt;"Sim"),"",IF(COUNTIFS(RASTREABILIDADE!$A:$A,"C1",RASTREABILIDADE!$G:$G,$C14,RASTREABILIDADE!$H:$H,"Sim",RASTREABILIDADE!$C:$C,IF(RESUMO!$B$5="Todas","&lt;&gt;",RESUMO!$B$5),RASTREABILIDADE!$B:$B,IF(RESUMO!$B$6="Todas","&lt;&gt;",RESUMO!$B$6))&gt;0,1,0))</f>
        <v/>
      </c>
      <c r="J14" s="47" t="str">
        <f>IF(OR($C14="",$D14&lt;&gt;"Sim"),"",IF(COUNTIFS(RASTREABILIDADE!$A:$A,"C2",RASTREABILIDADE!$G:$G,$C14,RASTREABILIDADE!$H:$H,"Sim",RASTREABILIDADE!$C:$C,IF(RESUMO!$B$5="Todas","&lt;&gt;",RESUMO!$B$5),RASTREABILIDADE!$B:$B,IF(RESUMO!$B$6="Todas","&lt;&gt;",RESUMO!$B$6))&gt;0,1,0))</f>
        <v/>
      </c>
    </row>
    <row r="15">
      <c r="A15" s="47">
        <v>15.0</v>
      </c>
      <c r="B15" s="47" t="str">
        <f>IF(GABARITO!$B16="","",IF(COUNTIF(GABARITO!$B$4:$B16,GABARITO!$B16)=1,GABARITO!$B16,""))</f>
        <v>RN12</v>
      </c>
      <c r="C15" s="47" t="str">
        <f>IF(GABARITO!$G16="","",GABARITO!$G16)</f>
        <v>SC11</v>
      </c>
      <c r="D15" s="47" t="str">
        <f>IF(GABARITO!$J16="","",GABARITO!$J16)</f>
        <v>Sim</v>
      </c>
      <c r="E15" s="47">
        <f>IFERROR(__xludf.DUMMYFUNCTION("IF($B15="""","""",IF(SUMPRODUCT((RASTREABILIDADE!$A$2:$A$2000=""C0"")*(RASTREABILIDADE!$F$2:$F$2000=""Sim"")*REGEXMATCH(RASTREABILIDADE!$E$2:$E$2000,""(^|[^A-Za-z0-9])""&amp;$B15&amp;""($|[^A-Za-z0-9])"")*(((RESUMO!$B$5=""Todas"")+(RASTREABILIDADE!$C$2:$C$2000=RE"&amp;"SUMO!$B$5))&gt;0)*(((RESUMO!$B$6=""Todas"")+(RASTREABILIDADE!$B$2:$B$2000=RESUMO!$B$6))&gt;0))&gt;0,1,0))"),1.0)</f>
        <v>1</v>
      </c>
      <c r="F15" s="47">
        <f>IFERROR(__xludf.DUMMYFUNCTION("IF($B15="""","""",IF(SUMPRODUCT((RASTREABILIDADE!$A$2:$A$2000=""C1"")*(RASTREABILIDADE!$F$2:$F$2000=""Sim"")*REGEXMATCH(RASTREABILIDADE!$E$2:$E$2000,""(^|[^A-Za-z0-9])""&amp;$B15&amp;""($|[^A-Za-z0-9])"")*(((RESUMO!$B$5=""Todas"")+(RASTREABILIDADE!$C$2:$C$2000=RE"&amp;"SUMO!$B$5))&gt;0)*(((RESUMO!$B$6=""Todas"")+(RASTREABILIDADE!$B$2:$B$2000=RESUMO!$B$6))&gt;0))&gt;0,1,0))"),1.0)</f>
        <v>1</v>
      </c>
      <c r="G15" s="47">
        <f>IFERROR(__xludf.DUMMYFUNCTION("IF($B15="""","""",IF(SUMPRODUCT((RASTREABILIDADE!$A$2:$A$2000=""C2"")*(RASTREABILIDADE!$F$2:$F$2000=""Sim"")*REGEXMATCH(RASTREABILIDADE!$E$2:$E$2000,""(^|[^A-Za-z0-9])""&amp;$B15&amp;""($|[^A-Za-z0-9])"")*(((RESUMO!$B$5=""Todas"")+(RASTREABILIDADE!$C$2:$C$2000=RE"&amp;"SUMO!$B$5))&gt;0)*(((RESUMO!$B$6=""Todas"")+(RASTREABILIDADE!$B$2:$B$2000=RESUMO!$B$6))&gt;0))&gt;0,1,0))"),1.0)</f>
        <v>1</v>
      </c>
      <c r="H15" s="47">
        <f>IF(OR($C15="",$D15&lt;&gt;"Sim"),"",IF(COUNTIFS(RASTREABILIDADE!$A:$A,"C0",RASTREABILIDADE!$G:$G,$C15,RASTREABILIDADE!$H:$H,"Sim",RASTREABILIDADE!$C:$C,IF(RESUMO!$B$5="Todas","&lt;&gt;",RESUMO!$B$5),RASTREABILIDADE!$B:$B,IF(RESUMO!$B$6="Todas","&lt;&gt;",RESUMO!$B$6))&gt;0,1,0))</f>
        <v>0</v>
      </c>
      <c r="I15" s="47">
        <f>IF(OR($C15="",$D15&lt;&gt;"Sim"),"",IF(COUNTIFS(RASTREABILIDADE!$A:$A,"C1",RASTREABILIDADE!$G:$G,$C15,RASTREABILIDADE!$H:$H,"Sim",RASTREABILIDADE!$C:$C,IF(RESUMO!$B$5="Todas","&lt;&gt;",RESUMO!$B$5),RASTREABILIDADE!$B:$B,IF(RESUMO!$B$6="Todas","&lt;&gt;",RESUMO!$B$6))&gt;0,1,0))</f>
        <v>1</v>
      </c>
      <c r="J15" s="47">
        <f>IF(OR($C15="",$D15&lt;&gt;"Sim"),"",IF(COUNTIFS(RASTREABILIDADE!$A:$A,"C2",RASTREABILIDADE!$G:$G,$C15,RASTREABILIDADE!$H:$H,"Sim",RASTREABILIDADE!$C:$C,IF(RESUMO!$B$5="Todas","&lt;&gt;",RESUMO!$B$5),RASTREABILIDADE!$B:$B,IF(RESUMO!$B$6="Todas","&lt;&gt;",RESUMO!$B$6))&gt;0,1,0))</f>
        <v>1</v>
      </c>
    </row>
    <row r="16">
      <c r="A16" s="47">
        <v>16.0</v>
      </c>
      <c r="B16" s="47" t="str">
        <f>IF(GABARITO!$B17="","",IF(COUNTIF(GABARITO!$B$4:$B17,GABARITO!$B17)=1,GABARITO!$B17,""))</f>
        <v>RN13</v>
      </c>
      <c r="C16" s="47" t="str">
        <f>IF(GABARITO!$G17="","",GABARITO!$G17)</f>
        <v>SC12</v>
      </c>
      <c r="D16" s="47" t="str">
        <f>IF(GABARITO!$J17="","",GABARITO!$J17)</f>
        <v>Não</v>
      </c>
      <c r="E16" s="47">
        <f>IFERROR(__xludf.DUMMYFUNCTION("IF($B16="""","""",IF(SUMPRODUCT((RASTREABILIDADE!$A$2:$A$2000=""C0"")*(RASTREABILIDADE!$F$2:$F$2000=""Sim"")*REGEXMATCH(RASTREABILIDADE!$E$2:$E$2000,""(^|[^A-Za-z0-9])""&amp;$B16&amp;""($|[^A-Za-z0-9])"")*(((RESUMO!$B$5=""Todas"")+(RASTREABILIDADE!$C$2:$C$2000=RE"&amp;"SUMO!$B$5))&gt;0)*(((RESUMO!$B$6=""Todas"")+(RASTREABILIDADE!$B$2:$B$2000=RESUMO!$B$6))&gt;0))&gt;0,1,0))"),0.0)</f>
        <v>0</v>
      </c>
      <c r="F16" s="47">
        <f>IFERROR(__xludf.DUMMYFUNCTION("IF($B16="""","""",IF(SUMPRODUCT((RASTREABILIDADE!$A$2:$A$2000=""C1"")*(RASTREABILIDADE!$F$2:$F$2000=""Sim"")*REGEXMATCH(RASTREABILIDADE!$E$2:$E$2000,""(^|[^A-Za-z0-9])""&amp;$B16&amp;""($|[^A-Za-z0-9])"")*(((RESUMO!$B$5=""Todas"")+(RASTREABILIDADE!$C$2:$C$2000=RE"&amp;"SUMO!$B$5))&gt;0)*(((RESUMO!$B$6=""Todas"")+(RASTREABILIDADE!$B$2:$B$2000=RESUMO!$B$6))&gt;0))&gt;0,1,0))"),1.0)</f>
        <v>1</v>
      </c>
      <c r="G16" s="47">
        <f>IFERROR(__xludf.DUMMYFUNCTION("IF($B16="""","""",IF(SUMPRODUCT((RASTREABILIDADE!$A$2:$A$2000=""C2"")*(RASTREABILIDADE!$F$2:$F$2000=""Sim"")*REGEXMATCH(RASTREABILIDADE!$E$2:$E$2000,""(^|[^A-Za-z0-9])""&amp;$B16&amp;""($|[^A-Za-z0-9])"")*(((RESUMO!$B$5=""Todas"")+(RASTREABILIDADE!$C$2:$C$2000=RE"&amp;"SUMO!$B$5))&gt;0)*(((RESUMO!$B$6=""Todas"")+(RASTREABILIDADE!$B$2:$B$2000=RESUMO!$B$6))&gt;0))&gt;0,1,0))"),1.0)</f>
        <v>1</v>
      </c>
      <c r="H16" s="47" t="str">
        <f>IF(OR($C16="",$D16&lt;&gt;"Sim"),"",IF(COUNTIFS(RASTREABILIDADE!$A:$A,"C0",RASTREABILIDADE!$G:$G,$C16,RASTREABILIDADE!$H:$H,"Sim",RASTREABILIDADE!$C:$C,IF(RESUMO!$B$5="Todas","&lt;&gt;",RESUMO!$B$5),RASTREABILIDADE!$B:$B,IF(RESUMO!$B$6="Todas","&lt;&gt;",RESUMO!$B$6))&gt;0,1,0))</f>
        <v/>
      </c>
      <c r="I16" s="47" t="str">
        <f>IF(OR($C16="",$D16&lt;&gt;"Sim"),"",IF(COUNTIFS(RASTREABILIDADE!$A:$A,"C1",RASTREABILIDADE!$G:$G,$C16,RASTREABILIDADE!$H:$H,"Sim",RASTREABILIDADE!$C:$C,IF(RESUMO!$B$5="Todas","&lt;&gt;",RESUMO!$B$5),RASTREABILIDADE!$B:$B,IF(RESUMO!$B$6="Todas","&lt;&gt;",RESUMO!$B$6))&gt;0,1,0))</f>
        <v/>
      </c>
      <c r="J16" s="47" t="str">
        <f>IF(OR($C16="",$D16&lt;&gt;"Sim"),"",IF(COUNTIFS(RASTREABILIDADE!$A:$A,"C2",RASTREABILIDADE!$G:$G,$C16,RASTREABILIDADE!$H:$H,"Sim",RASTREABILIDADE!$C:$C,IF(RESUMO!$B$5="Todas","&lt;&gt;",RESUMO!$B$5),RASTREABILIDADE!$B:$B,IF(RESUMO!$B$6="Todas","&lt;&gt;",RESUMO!$B$6))&gt;0,1,0))</f>
        <v/>
      </c>
    </row>
    <row r="17">
      <c r="A17" s="47">
        <v>17.0</v>
      </c>
      <c r="B17" s="47" t="str">
        <f>IF(GABARITO!$B18="","",IF(COUNTIF(GABARITO!$B$4:$B18,GABARITO!$B18)=1,GABARITO!$B18,""))</f>
        <v>RN14</v>
      </c>
      <c r="C17" s="47" t="str">
        <f>IF(GABARITO!$G18="","",GABARITO!$G18)</f>
        <v>SC13</v>
      </c>
      <c r="D17" s="47" t="str">
        <f>IF(GABARITO!$J18="","",GABARITO!$J18)</f>
        <v>Não</v>
      </c>
      <c r="E17" s="47">
        <f>IFERROR(__xludf.DUMMYFUNCTION("IF($B17="""","""",IF(SUMPRODUCT((RASTREABILIDADE!$A$2:$A$2000=""C0"")*(RASTREABILIDADE!$F$2:$F$2000=""Sim"")*REGEXMATCH(RASTREABILIDADE!$E$2:$E$2000,""(^|[^A-Za-z0-9])""&amp;$B17&amp;""($|[^A-Za-z0-9])"")*(((RESUMO!$B$5=""Todas"")+(RASTREABILIDADE!$C$2:$C$2000=RE"&amp;"SUMO!$B$5))&gt;0)*(((RESUMO!$B$6=""Todas"")+(RASTREABILIDADE!$B$2:$B$2000=RESUMO!$B$6))&gt;0))&gt;0,1,0))"),0.0)</f>
        <v>0</v>
      </c>
      <c r="F17" s="47">
        <f>IFERROR(__xludf.DUMMYFUNCTION("IF($B17="""","""",IF(SUMPRODUCT((RASTREABILIDADE!$A$2:$A$2000=""C1"")*(RASTREABILIDADE!$F$2:$F$2000=""Sim"")*REGEXMATCH(RASTREABILIDADE!$E$2:$E$2000,""(^|[^A-Za-z0-9])""&amp;$B17&amp;""($|[^A-Za-z0-9])"")*(((RESUMO!$B$5=""Todas"")+(RASTREABILIDADE!$C$2:$C$2000=RE"&amp;"SUMO!$B$5))&gt;0)*(((RESUMO!$B$6=""Todas"")+(RASTREABILIDADE!$B$2:$B$2000=RESUMO!$B$6))&gt;0))&gt;0,1,0))"),1.0)</f>
        <v>1</v>
      </c>
      <c r="G17" s="47">
        <f>IFERROR(__xludf.DUMMYFUNCTION("IF($B17="""","""",IF(SUMPRODUCT((RASTREABILIDADE!$A$2:$A$2000=""C2"")*(RASTREABILIDADE!$F$2:$F$2000=""Sim"")*REGEXMATCH(RASTREABILIDADE!$E$2:$E$2000,""(^|[^A-Za-z0-9])""&amp;$B17&amp;""($|[^A-Za-z0-9])"")*(((RESUMO!$B$5=""Todas"")+(RASTREABILIDADE!$C$2:$C$2000=RE"&amp;"SUMO!$B$5))&gt;0)*(((RESUMO!$B$6=""Todas"")+(RASTREABILIDADE!$B$2:$B$2000=RESUMO!$B$6))&gt;0))&gt;0,1,0))"),1.0)</f>
        <v>1</v>
      </c>
      <c r="H17" s="47" t="str">
        <f>IF(OR($C17="",$D17&lt;&gt;"Sim"),"",IF(COUNTIFS(RASTREABILIDADE!$A:$A,"C0",RASTREABILIDADE!$G:$G,$C17,RASTREABILIDADE!$H:$H,"Sim",RASTREABILIDADE!$C:$C,IF(RESUMO!$B$5="Todas","&lt;&gt;",RESUMO!$B$5),RASTREABILIDADE!$B:$B,IF(RESUMO!$B$6="Todas","&lt;&gt;",RESUMO!$B$6))&gt;0,1,0))</f>
        <v/>
      </c>
      <c r="I17" s="47" t="str">
        <f>IF(OR($C17="",$D17&lt;&gt;"Sim"),"",IF(COUNTIFS(RASTREABILIDADE!$A:$A,"C1",RASTREABILIDADE!$G:$G,$C17,RASTREABILIDADE!$H:$H,"Sim",RASTREABILIDADE!$C:$C,IF(RESUMO!$B$5="Todas","&lt;&gt;",RESUMO!$B$5),RASTREABILIDADE!$B:$B,IF(RESUMO!$B$6="Todas","&lt;&gt;",RESUMO!$B$6))&gt;0,1,0))</f>
        <v/>
      </c>
      <c r="J17" s="47" t="str">
        <f>IF(OR($C17="",$D17&lt;&gt;"Sim"),"",IF(COUNTIFS(RASTREABILIDADE!$A:$A,"C2",RASTREABILIDADE!$G:$G,$C17,RASTREABILIDADE!$H:$H,"Sim",RASTREABILIDADE!$C:$C,IF(RESUMO!$B$5="Todas","&lt;&gt;",RESUMO!$B$5),RASTREABILIDADE!$B:$B,IF(RESUMO!$B$6="Todas","&lt;&gt;",RESUMO!$B$6))&gt;0,1,0))</f>
        <v/>
      </c>
    </row>
    <row r="18">
      <c r="A18" s="47">
        <v>18.0</v>
      </c>
      <c r="B18" s="47" t="str">
        <f>IF(GABARITO!$B19="","",IF(COUNTIF(GABARITO!$B$4:$B19,GABARITO!$B19)=1,GABARITO!$B19,""))</f>
        <v/>
      </c>
      <c r="C18" s="47" t="str">
        <f>IF(GABARITO!$G19="","",GABARITO!$G19)</f>
        <v/>
      </c>
      <c r="D18" s="47" t="str">
        <f>IF(GABARITO!$J19="","",GABARITO!$J19)</f>
        <v/>
      </c>
      <c r="E18" s="47" t="str">
        <f>IFERROR(__xludf.DUMMYFUNCTION("IF($B18="""","""",IF(SUMPRODUCT((RASTREABILIDADE!$A$2:$A$2000=""C0"")*(RASTREABILIDADE!$F$2:$F$2000=""Sim"")*REGEXMATCH(RASTREABILIDADE!$E$2:$E$2000,""(^|[^A-Za-z0-9])""&amp;$B18&amp;""($|[^A-Za-z0-9])"")*(((RESUMO!$B$5=""Todas"")+(RASTREABILIDADE!$C$2:$C$2000=RE"&amp;"SUMO!$B$5))&gt;0)*(((RESUMO!$B$6=""Todas"")+(RASTREABILIDADE!$B$2:$B$2000=RESUMO!$B$6))&gt;0))&gt;0,1,0))"),"")</f>
        <v/>
      </c>
      <c r="F18" s="47" t="str">
        <f>IFERROR(__xludf.DUMMYFUNCTION("IF($B18="""","""",IF(SUMPRODUCT((RASTREABILIDADE!$A$2:$A$2000=""C1"")*(RASTREABILIDADE!$F$2:$F$2000=""Sim"")*REGEXMATCH(RASTREABILIDADE!$E$2:$E$2000,""(^|[^A-Za-z0-9])""&amp;$B18&amp;""($|[^A-Za-z0-9])"")*(((RESUMO!$B$5=""Todas"")+(RASTREABILIDADE!$C$2:$C$2000=RE"&amp;"SUMO!$B$5))&gt;0)*(((RESUMO!$B$6=""Todas"")+(RASTREABILIDADE!$B$2:$B$2000=RESUMO!$B$6))&gt;0))&gt;0,1,0))"),"")</f>
        <v/>
      </c>
      <c r="G18" s="47" t="str">
        <f>IFERROR(__xludf.DUMMYFUNCTION("IF($B18="""","""",IF(SUMPRODUCT((RASTREABILIDADE!$A$2:$A$2000=""C2"")*(RASTREABILIDADE!$F$2:$F$2000=""Sim"")*REGEXMATCH(RASTREABILIDADE!$E$2:$E$2000,""(^|[^A-Za-z0-9])""&amp;$B18&amp;""($|[^A-Za-z0-9])"")*(((RESUMO!$B$5=""Todas"")+(RASTREABILIDADE!$C$2:$C$2000=RE"&amp;"SUMO!$B$5))&gt;0)*(((RESUMO!$B$6=""Todas"")+(RASTREABILIDADE!$B$2:$B$2000=RESUMO!$B$6))&gt;0))&gt;0,1,0))"),"")</f>
        <v/>
      </c>
      <c r="H18" s="47" t="str">
        <f>IF(OR($C18="",$D18&lt;&gt;"Sim"),"",IF(COUNTIFS(RASTREABILIDADE!$A:$A,"C0",RASTREABILIDADE!$G:$G,$C18,RASTREABILIDADE!$H:$H,"Sim",RASTREABILIDADE!$C:$C,IF(RESUMO!$B$5="Todas","&lt;&gt;",RESUMO!$B$5),RASTREABILIDADE!$B:$B,IF(RESUMO!$B$6="Todas","&lt;&gt;",RESUMO!$B$6))&gt;0,1,0))</f>
        <v/>
      </c>
      <c r="I18" s="47" t="str">
        <f>IF(OR($C18="",$D18&lt;&gt;"Sim"),"",IF(COUNTIFS(RASTREABILIDADE!$A:$A,"C1",RASTREABILIDADE!$G:$G,$C18,RASTREABILIDADE!$H:$H,"Sim",RASTREABILIDADE!$C:$C,IF(RESUMO!$B$5="Todas","&lt;&gt;",RESUMO!$B$5),RASTREABILIDADE!$B:$B,IF(RESUMO!$B$6="Todas","&lt;&gt;",RESUMO!$B$6))&gt;0,1,0))</f>
        <v/>
      </c>
      <c r="J18" s="47" t="str">
        <f>IF(OR($C18="",$D18&lt;&gt;"Sim"),"",IF(COUNTIFS(RASTREABILIDADE!$A:$A,"C2",RASTREABILIDADE!$G:$G,$C18,RASTREABILIDADE!$H:$H,"Sim",RASTREABILIDADE!$C:$C,IF(RESUMO!$B$5="Todas","&lt;&gt;",RESUMO!$B$5),RASTREABILIDADE!$B:$B,IF(RESUMO!$B$6="Todas","&lt;&gt;",RESUMO!$B$6))&gt;0,1,0))</f>
        <v/>
      </c>
    </row>
    <row r="19">
      <c r="A19" s="47">
        <v>19.0</v>
      </c>
      <c r="B19" s="47" t="str">
        <f>IF(GABARITO!$B20="","",IF(COUNTIF(GABARITO!$B$4:$B20,GABARITO!$B20)=1,GABARITO!$B20,""))</f>
        <v>RN15</v>
      </c>
      <c r="C19" s="47" t="str">
        <f>IF(GABARITO!$G20="","",GABARITO!$G20)</f>
        <v>SC14</v>
      </c>
      <c r="D19" s="47" t="str">
        <f>IF(GABARITO!$J20="","",GABARITO!$J20)</f>
        <v>Não</v>
      </c>
      <c r="E19" s="47">
        <f>IFERROR(__xludf.DUMMYFUNCTION("IF($B19="""","""",IF(SUMPRODUCT((RASTREABILIDADE!$A$2:$A$2000=""C0"")*(RASTREABILIDADE!$F$2:$F$2000=""Sim"")*REGEXMATCH(RASTREABILIDADE!$E$2:$E$2000,""(^|[^A-Za-z0-9])""&amp;$B19&amp;""($|[^A-Za-z0-9])"")*(((RESUMO!$B$5=""Todas"")+(RASTREABILIDADE!$C$2:$C$2000=RE"&amp;"SUMO!$B$5))&gt;0)*(((RESUMO!$B$6=""Todas"")+(RASTREABILIDADE!$B$2:$B$2000=RESUMO!$B$6))&gt;0))&gt;0,1,0))"),0.0)</f>
        <v>0</v>
      </c>
      <c r="F19" s="47">
        <f>IFERROR(__xludf.DUMMYFUNCTION("IF($B19="""","""",IF(SUMPRODUCT((RASTREABILIDADE!$A$2:$A$2000=""C1"")*(RASTREABILIDADE!$F$2:$F$2000=""Sim"")*REGEXMATCH(RASTREABILIDADE!$E$2:$E$2000,""(^|[^A-Za-z0-9])""&amp;$B19&amp;""($|[^A-Za-z0-9])"")*(((RESUMO!$B$5=""Todas"")+(RASTREABILIDADE!$C$2:$C$2000=RE"&amp;"SUMO!$B$5))&gt;0)*(((RESUMO!$B$6=""Todas"")+(RASTREABILIDADE!$B$2:$B$2000=RESUMO!$B$6))&gt;0))&gt;0,1,0))"),1.0)</f>
        <v>1</v>
      </c>
      <c r="G19" s="47">
        <f>IFERROR(__xludf.DUMMYFUNCTION("IF($B19="""","""",IF(SUMPRODUCT((RASTREABILIDADE!$A$2:$A$2000=""C2"")*(RASTREABILIDADE!$F$2:$F$2000=""Sim"")*REGEXMATCH(RASTREABILIDADE!$E$2:$E$2000,""(^|[^A-Za-z0-9])""&amp;$B19&amp;""($|[^A-Za-z0-9])"")*(((RESUMO!$B$5=""Todas"")+(RASTREABILIDADE!$C$2:$C$2000=RE"&amp;"SUMO!$B$5))&gt;0)*(((RESUMO!$B$6=""Todas"")+(RASTREABILIDADE!$B$2:$B$2000=RESUMO!$B$6))&gt;0))&gt;0,1,0))"),1.0)</f>
        <v>1</v>
      </c>
      <c r="H19" s="47" t="str">
        <f>IF(OR($C19="",$D19&lt;&gt;"Sim"),"",IF(COUNTIFS(RASTREABILIDADE!$A:$A,"C0",RASTREABILIDADE!$G:$G,$C19,RASTREABILIDADE!$H:$H,"Sim",RASTREABILIDADE!$C:$C,IF(RESUMO!$B$5="Todas","&lt;&gt;",RESUMO!$B$5),RASTREABILIDADE!$B:$B,IF(RESUMO!$B$6="Todas","&lt;&gt;",RESUMO!$B$6))&gt;0,1,0))</f>
        <v/>
      </c>
      <c r="I19" s="47" t="str">
        <f>IF(OR($C19="",$D19&lt;&gt;"Sim"),"",IF(COUNTIFS(RASTREABILIDADE!$A:$A,"C1",RASTREABILIDADE!$G:$G,$C19,RASTREABILIDADE!$H:$H,"Sim",RASTREABILIDADE!$C:$C,IF(RESUMO!$B$5="Todas","&lt;&gt;",RESUMO!$B$5),RASTREABILIDADE!$B:$B,IF(RESUMO!$B$6="Todas","&lt;&gt;",RESUMO!$B$6))&gt;0,1,0))</f>
        <v/>
      </c>
      <c r="J19" s="47" t="str">
        <f>IF(OR($C19="",$D19&lt;&gt;"Sim"),"",IF(COUNTIFS(RASTREABILIDADE!$A:$A,"C2",RASTREABILIDADE!$G:$G,$C19,RASTREABILIDADE!$H:$H,"Sim",RASTREABILIDADE!$C:$C,IF(RESUMO!$B$5="Todas","&lt;&gt;",RESUMO!$B$5),RASTREABILIDADE!$B:$B,IF(RESUMO!$B$6="Todas","&lt;&gt;",RESUMO!$B$6))&gt;0,1,0))</f>
        <v/>
      </c>
    </row>
    <row r="20">
      <c r="A20" s="47">
        <v>20.0</v>
      </c>
      <c r="B20" s="47" t="str">
        <f>IF(GABARITO!$B21="","",IF(COUNTIF(GABARITO!$B$4:$B21,GABARITO!$B21)=1,GABARITO!$B21,""))</f>
        <v>RN16</v>
      </c>
      <c r="C20" s="47" t="str">
        <f>IF(GABARITO!$G21="","",GABARITO!$G21)</f>
        <v>SC15</v>
      </c>
      <c r="D20" s="47" t="str">
        <f>IF(GABARITO!$J21="","",GABARITO!$J21)</f>
        <v>Não</v>
      </c>
      <c r="E20" s="47">
        <f>IFERROR(__xludf.DUMMYFUNCTION("IF($B20="""","""",IF(SUMPRODUCT((RASTREABILIDADE!$A$2:$A$2000=""C0"")*(RASTREABILIDADE!$F$2:$F$2000=""Sim"")*REGEXMATCH(RASTREABILIDADE!$E$2:$E$2000,""(^|[^A-Za-z0-9])""&amp;$B20&amp;""($|[^A-Za-z0-9])"")*(((RESUMO!$B$5=""Todas"")+(RASTREABILIDADE!$C$2:$C$2000=RE"&amp;"SUMO!$B$5))&gt;0)*(((RESUMO!$B$6=""Todas"")+(RASTREABILIDADE!$B$2:$B$2000=RESUMO!$B$6))&gt;0))&gt;0,1,0))"),0.0)</f>
        <v>0</v>
      </c>
      <c r="F20" s="47">
        <f>IFERROR(__xludf.DUMMYFUNCTION("IF($B20="""","""",IF(SUMPRODUCT((RASTREABILIDADE!$A$2:$A$2000=""C1"")*(RASTREABILIDADE!$F$2:$F$2000=""Sim"")*REGEXMATCH(RASTREABILIDADE!$E$2:$E$2000,""(^|[^A-Za-z0-9])""&amp;$B20&amp;""($|[^A-Za-z0-9])"")*(((RESUMO!$B$5=""Todas"")+(RASTREABILIDADE!$C$2:$C$2000=RE"&amp;"SUMO!$B$5))&gt;0)*(((RESUMO!$B$6=""Todas"")+(RASTREABILIDADE!$B$2:$B$2000=RESUMO!$B$6))&gt;0))&gt;0,1,0))"),1.0)</f>
        <v>1</v>
      </c>
      <c r="G20" s="47">
        <f>IFERROR(__xludf.DUMMYFUNCTION("IF($B20="""","""",IF(SUMPRODUCT((RASTREABILIDADE!$A$2:$A$2000=""C2"")*(RASTREABILIDADE!$F$2:$F$2000=""Sim"")*REGEXMATCH(RASTREABILIDADE!$E$2:$E$2000,""(^|[^A-Za-z0-9])""&amp;$B20&amp;""($|[^A-Za-z0-9])"")*(((RESUMO!$B$5=""Todas"")+(RASTREABILIDADE!$C$2:$C$2000=RE"&amp;"SUMO!$B$5))&gt;0)*(((RESUMO!$B$6=""Todas"")+(RASTREABILIDADE!$B$2:$B$2000=RESUMO!$B$6))&gt;0))&gt;0,1,0))"),1.0)</f>
        <v>1</v>
      </c>
      <c r="H20" s="47" t="str">
        <f>IF(OR($C20="",$D20&lt;&gt;"Sim"),"",IF(COUNTIFS(RASTREABILIDADE!$A:$A,"C0",RASTREABILIDADE!$G:$G,$C20,RASTREABILIDADE!$H:$H,"Sim",RASTREABILIDADE!$C:$C,IF(RESUMO!$B$5="Todas","&lt;&gt;",RESUMO!$B$5),RASTREABILIDADE!$B:$B,IF(RESUMO!$B$6="Todas","&lt;&gt;",RESUMO!$B$6))&gt;0,1,0))</f>
        <v/>
      </c>
      <c r="I20" s="47" t="str">
        <f>IF(OR($C20="",$D20&lt;&gt;"Sim"),"",IF(COUNTIFS(RASTREABILIDADE!$A:$A,"C1",RASTREABILIDADE!$G:$G,$C20,RASTREABILIDADE!$H:$H,"Sim",RASTREABILIDADE!$C:$C,IF(RESUMO!$B$5="Todas","&lt;&gt;",RESUMO!$B$5),RASTREABILIDADE!$B:$B,IF(RESUMO!$B$6="Todas","&lt;&gt;",RESUMO!$B$6))&gt;0,1,0))</f>
        <v/>
      </c>
      <c r="J20" s="47" t="str">
        <f>IF(OR($C20="",$D20&lt;&gt;"Sim"),"",IF(COUNTIFS(RASTREABILIDADE!$A:$A,"C2",RASTREABILIDADE!$G:$G,$C20,RASTREABILIDADE!$H:$H,"Sim",RASTREABILIDADE!$C:$C,IF(RESUMO!$B$5="Todas","&lt;&gt;",RESUMO!$B$5),RASTREABILIDADE!$B:$B,IF(RESUMO!$B$6="Todas","&lt;&gt;",RESUMO!$B$6))&gt;0,1,0))</f>
        <v/>
      </c>
    </row>
    <row r="21" ht="15.75" customHeight="1">
      <c r="A21" s="47">
        <v>21.0</v>
      </c>
      <c r="B21" s="47" t="str">
        <f>IF(GABARITO!$B22="","",IF(COUNTIF(GABARITO!$B$4:$B22,GABARITO!$B22)=1,GABARITO!$B22,""))</f>
        <v>RN17</v>
      </c>
      <c r="C21" s="47" t="str">
        <f>IF(GABARITO!$G22="","",GABARITO!$G22)</f>
        <v>SC16</v>
      </c>
      <c r="D21" s="47" t="str">
        <f>IF(GABARITO!$J22="","",GABARITO!$J22)</f>
        <v>Não</v>
      </c>
      <c r="E21" s="47">
        <f>IFERROR(__xludf.DUMMYFUNCTION("IF($B21="""","""",IF(SUMPRODUCT((RASTREABILIDADE!$A$2:$A$2000=""C0"")*(RASTREABILIDADE!$F$2:$F$2000=""Sim"")*REGEXMATCH(RASTREABILIDADE!$E$2:$E$2000,""(^|[^A-Za-z0-9])""&amp;$B21&amp;""($|[^A-Za-z0-9])"")*(((RESUMO!$B$5=""Todas"")+(RASTREABILIDADE!$C$2:$C$2000=RE"&amp;"SUMO!$B$5))&gt;0)*(((RESUMO!$B$6=""Todas"")+(RASTREABILIDADE!$B$2:$B$2000=RESUMO!$B$6))&gt;0))&gt;0,1,0))"),0.0)</f>
        <v>0</v>
      </c>
      <c r="F21" s="47">
        <f>IFERROR(__xludf.DUMMYFUNCTION("IF($B21="""","""",IF(SUMPRODUCT((RASTREABILIDADE!$A$2:$A$2000=""C1"")*(RASTREABILIDADE!$F$2:$F$2000=""Sim"")*REGEXMATCH(RASTREABILIDADE!$E$2:$E$2000,""(^|[^A-Za-z0-9])""&amp;$B21&amp;""($|[^A-Za-z0-9])"")*(((RESUMO!$B$5=""Todas"")+(RASTREABILIDADE!$C$2:$C$2000=RE"&amp;"SUMO!$B$5))&gt;0)*(((RESUMO!$B$6=""Todas"")+(RASTREABILIDADE!$B$2:$B$2000=RESUMO!$B$6))&gt;0))&gt;0,1,0))"),1.0)</f>
        <v>1</v>
      </c>
      <c r="G21" s="47">
        <f>IFERROR(__xludf.DUMMYFUNCTION("IF($B21="""","""",IF(SUMPRODUCT((RASTREABILIDADE!$A$2:$A$2000=""C2"")*(RASTREABILIDADE!$F$2:$F$2000=""Sim"")*REGEXMATCH(RASTREABILIDADE!$E$2:$E$2000,""(^|[^A-Za-z0-9])""&amp;$B21&amp;""($|[^A-Za-z0-9])"")*(((RESUMO!$B$5=""Todas"")+(RASTREABILIDADE!$C$2:$C$2000=RE"&amp;"SUMO!$B$5))&gt;0)*(((RESUMO!$B$6=""Todas"")+(RASTREABILIDADE!$B$2:$B$2000=RESUMO!$B$6))&gt;0))&gt;0,1,0))"),1.0)</f>
        <v>1</v>
      </c>
      <c r="H21" s="47" t="str">
        <f>IF(OR($C21="",$D21&lt;&gt;"Sim"),"",IF(COUNTIFS(RASTREABILIDADE!$A:$A,"C0",RASTREABILIDADE!$G:$G,$C21,RASTREABILIDADE!$H:$H,"Sim",RASTREABILIDADE!$C:$C,IF(RESUMO!$B$5="Todas","&lt;&gt;",RESUMO!$B$5),RASTREABILIDADE!$B:$B,IF(RESUMO!$B$6="Todas","&lt;&gt;",RESUMO!$B$6))&gt;0,1,0))</f>
        <v/>
      </c>
      <c r="I21" s="47" t="str">
        <f>IF(OR($C21="",$D21&lt;&gt;"Sim"),"",IF(COUNTIFS(RASTREABILIDADE!$A:$A,"C1",RASTREABILIDADE!$G:$G,$C21,RASTREABILIDADE!$H:$H,"Sim",RASTREABILIDADE!$C:$C,IF(RESUMO!$B$5="Todas","&lt;&gt;",RESUMO!$B$5),RASTREABILIDADE!$B:$B,IF(RESUMO!$B$6="Todas","&lt;&gt;",RESUMO!$B$6))&gt;0,1,0))</f>
        <v/>
      </c>
      <c r="J21" s="47" t="str">
        <f>IF(OR($C21="",$D21&lt;&gt;"Sim"),"",IF(COUNTIFS(RASTREABILIDADE!$A:$A,"C2",RASTREABILIDADE!$G:$G,$C21,RASTREABILIDADE!$H:$H,"Sim",RASTREABILIDADE!$C:$C,IF(RESUMO!$B$5="Todas","&lt;&gt;",RESUMO!$B$5),RASTREABILIDADE!$B:$B,IF(RESUMO!$B$6="Todas","&lt;&gt;",RESUMO!$B$6))&gt;0,1,0))</f>
        <v/>
      </c>
    </row>
    <row r="22" ht="15.75" customHeight="1">
      <c r="A22" s="47">
        <v>22.0</v>
      </c>
      <c r="B22" s="47" t="str">
        <f>IF(GABARITO!$B23="","",IF(COUNTIF(GABARITO!$B$4:$B23,GABARITO!$B23)=1,GABARITO!$B23,""))</f>
        <v>RN18</v>
      </c>
      <c r="C22" s="47" t="str">
        <f>IF(GABARITO!$G23="","",GABARITO!$G23)</f>
        <v>SC17</v>
      </c>
      <c r="D22" s="47" t="str">
        <f>IF(GABARITO!$J23="","",GABARITO!$J23)</f>
        <v>Não</v>
      </c>
      <c r="E22" s="47">
        <f>IFERROR(__xludf.DUMMYFUNCTION("IF($B22="""","""",IF(SUMPRODUCT((RASTREABILIDADE!$A$2:$A$2000=""C0"")*(RASTREABILIDADE!$F$2:$F$2000=""Sim"")*REGEXMATCH(RASTREABILIDADE!$E$2:$E$2000,""(^|[^A-Za-z0-9])""&amp;$B22&amp;""($|[^A-Za-z0-9])"")*(((RESUMO!$B$5=""Todas"")+(RASTREABILIDADE!$C$2:$C$2000=RE"&amp;"SUMO!$B$5))&gt;0)*(((RESUMO!$B$6=""Todas"")+(RASTREABILIDADE!$B$2:$B$2000=RESUMO!$B$6))&gt;0))&gt;0,1,0))"),0.0)</f>
        <v>0</v>
      </c>
      <c r="F22" s="47">
        <f>IFERROR(__xludf.DUMMYFUNCTION("IF($B22="""","""",IF(SUMPRODUCT((RASTREABILIDADE!$A$2:$A$2000=""C1"")*(RASTREABILIDADE!$F$2:$F$2000=""Sim"")*REGEXMATCH(RASTREABILIDADE!$E$2:$E$2000,""(^|[^A-Za-z0-9])""&amp;$B22&amp;""($|[^A-Za-z0-9])"")*(((RESUMO!$B$5=""Todas"")+(RASTREABILIDADE!$C$2:$C$2000=RE"&amp;"SUMO!$B$5))&gt;0)*(((RESUMO!$B$6=""Todas"")+(RASTREABILIDADE!$B$2:$B$2000=RESUMO!$B$6))&gt;0))&gt;0,1,0))"),1.0)</f>
        <v>1</v>
      </c>
      <c r="G22" s="47">
        <f>IFERROR(__xludf.DUMMYFUNCTION("IF($B22="""","""",IF(SUMPRODUCT((RASTREABILIDADE!$A$2:$A$2000=""C2"")*(RASTREABILIDADE!$F$2:$F$2000=""Sim"")*REGEXMATCH(RASTREABILIDADE!$E$2:$E$2000,""(^|[^A-Za-z0-9])""&amp;$B22&amp;""($|[^A-Za-z0-9])"")*(((RESUMO!$B$5=""Todas"")+(RASTREABILIDADE!$C$2:$C$2000=RE"&amp;"SUMO!$B$5))&gt;0)*(((RESUMO!$B$6=""Todas"")+(RASTREABILIDADE!$B$2:$B$2000=RESUMO!$B$6))&gt;0))&gt;0,1,0))"),1.0)</f>
        <v>1</v>
      </c>
      <c r="H22" s="47" t="str">
        <f>IF(OR($C22="",$D22&lt;&gt;"Sim"),"",IF(COUNTIFS(RASTREABILIDADE!$A:$A,"C0",RASTREABILIDADE!$G:$G,$C22,RASTREABILIDADE!$H:$H,"Sim",RASTREABILIDADE!$C:$C,IF(RESUMO!$B$5="Todas","&lt;&gt;",RESUMO!$B$5),RASTREABILIDADE!$B:$B,IF(RESUMO!$B$6="Todas","&lt;&gt;",RESUMO!$B$6))&gt;0,1,0))</f>
        <v/>
      </c>
      <c r="I22" s="47" t="str">
        <f>IF(OR($C22="",$D22&lt;&gt;"Sim"),"",IF(COUNTIFS(RASTREABILIDADE!$A:$A,"C1",RASTREABILIDADE!$G:$G,$C22,RASTREABILIDADE!$H:$H,"Sim",RASTREABILIDADE!$C:$C,IF(RESUMO!$B$5="Todas","&lt;&gt;",RESUMO!$B$5),RASTREABILIDADE!$B:$B,IF(RESUMO!$B$6="Todas","&lt;&gt;",RESUMO!$B$6))&gt;0,1,0))</f>
        <v/>
      </c>
      <c r="J22" s="47" t="str">
        <f>IF(OR($C22="",$D22&lt;&gt;"Sim"),"",IF(COUNTIFS(RASTREABILIDADE!$A:$A,"C2",RASTREABILIDADE!$G:$G,$C22,RASTREABILIDADE!$H:$H,"Sim",RASTREABILIDADE!$C:$C,IF(RESUMO!$B$5="Todas","&lt;&gt;",RESUMO!$B$5),RASTREABILIDADE!$B:$B,IF(RESUMO!$B$6="Todas","&lt;&gt;",RESUMO!$B$6))&gt;0,1,0))</f>
        <v/>
      </c>
    </row>
    <row r="23" ht="15.75" customHeight="1">
      <c r="A23" s="47">
        <v>23.0</v>
      </c>
      <c r="B23" s="47" t="str">
        <f>IF(GABARITO!$B24="","",IF(COUNTIF(GABARITO!$B$4:$B24,GABARITO!$B24)=1,GABARITO!$B24,""))</f>
        <v>RN19</v>
      </c>
      <c r="C23" s="47" t="str">
        <f>IF(GABARITO!$G24="","",GABARITO!$G24)</f>
        <v>SC18</v>
      </c>
      <c r="D23" s="47" t="str">
        <f>IF(GABARITO!$J24="","",GABARITO!$J24)</f>
        <v>Não</v>
      </c>
      <c r="E23" s="47">
        <f>IFERROR(__xludf.DUMMYFUNCTION("IF($B23="""","""",IF(SUMPRODUCT((RASTREABILIDADE!$A$2:$A$2000=""C0"")*(RASTREABILIDADE!$F$2:$F$2000=""Sim"")*REGEXMATCH(RASTREABILIDADE!$E$2:$E$2000,""(^|[^A-Za-z0-9])""&amp;$B23&amp;""($|[^A-Za-z0-9])"")*(((RESUMO!$B$5=""Todas"")+(RASTREABILIDADE!$C$2:$C$2000=RE"&amp;"SUMO!$B$5))&gt;0)*(((RESUMO!$B$6=""Todas"")+(RASTREABILIDADE!$B$2:$B$2000=RESUMO!$B$6))&gt;0))&gt;0,1,0))"),1.0)</f>
        <v>1</v>
      </c>
      <c r="F23" s="47">
        <f>IFERROR(__xludf.DUMMYFUNCTION("IF($B23="""","""",IF(SUMPRODUCT((RASTREABILIDADE!$A$2:$A$2000=""C1"")*(RASTREABILIDADE!$F$2:$F$2000=""Sim"")*REGEXMATCH(RASTREABILIDADE!$E$2:$E$2000,""(^|[^A-Za-z0-9])""&amp;$B23&amp;""($|[^A-Za-z0-9])"")*(((RESUMO!$B$5=""Todas"")+(RASTREABILIDADE!$C$2:$C$2000=RE"&amp;"SUMO!$B$5))&gt;0)*(((RESUMO!$B$6=""Todas"")+(RASTREABILIDADE!$B$2:$B$2000=RESUMO!$B$6))&gt;0))&gt;0,1,0))"),1.0)</f>
        <v>1</v>
      </c>
      <c r="G23" s="47">
        <f>IFERROR(__xludf.DUMMYFUNCTION("IF($B23="""","""",IF(SUMPRODUCT((RASTREABILIDADE!$A$2:$A$2000=""C2"")*(RASTREABILIDADE!$F$2:$F$2000=""Sim"")*REGEXMATCH(RASTREABILIDADE!$E$2:$E$2000,""(^|[^A-Za-z0-9])""&amp;$B23&amp;""($|[^A-Za-z0-9])"")*(((RESUMO!$B$5=""Todas"")+(RASTREABILIDADE!$C$2:$C$2000=RE"&amp;"SUMO!$B$5))&gt;0)*(((RESUMO!$B$6=""Todas"")+(RASTREABILIDADE!$B$2:$B$2000=RESUMO!$B$6))&gt;0))&gt;0,1,0))"),1.0)</f>
        <v>1</v>
      </c>
      <c r="H23" s="47" t="str">
        <f>IF(OR($C23="",$D23&lt;&gt;"Sim"),"",IF(COUNTIFS(RASTREABILIDADE!$A:$A,"C0",RASTREABILIDADE!$G:$G,$C23,RASTREABILIDADE!$H:$H,"Sim",RASTREABILIDADE!$C:$C,IF(RESUMO!$B$5="Todas","&lt;&gt;",RESUMO!$B$5),RASTREABILIDADE!$B:$B,IF(RESUMO!$B$6="Todas","&lt;&gt;",RESUMO!$B$6))&gt;0,1,0))</f>
        <v/>
      </c>
      <c r="I23" s="47" t="str">
        <f>IF(OR($C23="",$D23&lt;&gt;"Sim"),"",IF(COUNTIFS(RASTREABILIDADE!$A:$A,"C1",RASTREABILIDADE!$G:$G,$C23,RASTREABILIDADE!$H:$H,"Sim",RASTREABILIDADE!$C:$C,IF(RESUMO!$B$5="Todas","&lt;&gt;",RESUMO!$B$5),RASTREABILIDADE!$B:$B,IF(RESUMO!$B$6="Todas","&lt;&gt;",RESUMO!$B$6))&gt;0,1,0))</f>
        <v/>
      </c>
      <c r="J23" s="47" t="str">
        <f>IF(OR($C23="",$D23&lt;&gt;"Sim"),"",IF(COUNTIFS(RASTREABILIDADE!$A:$A,"C2",RASTREABILIDADE!$G:$G,$C23,RASTREABILIDADE!$H:$H,"Sim",RASTREABILIDADE!$C:$C,IF(RESUMO!$B$5="Todas","&lt;&gt;",RESUMO!$B$5),RASTREABILIDADE!$B:$B,IF(RESUMO!$B$6="Todas","&lt;&gt;",RESUMO!$B$6))&gt;0,1,0))</f>
        <v/>
      </c>
    </row>
    <row r="24" ht="15.75" customHeight="1">
      <c r="A24" s="47">
        <v>24.0</v>
      </c>
      <c r="B24" s="47" t="str">
        <f>IF(GABARITO!$B25="","",IF(COUNTIF(GABARITO!$B$4:$B25,GABARITO!$B25)=1,GABARITO!$B25,""))</f>
        <v>RN20</v>
      </c>
      <c r="C24" s="47" t="str">
        <f>IF(GABARITO!$G25="","",GABARITO!$G25)</f>
        <v>SC17</v>
      </c>
      <c r="D24" s="47" t="str">
        <f>IF(GABARITO!$J25="","",GABARITO!$J25)</f>
        <v>Não</v>
      </c>
      <c r="E24" s="47">
        <f>IFERROR(__xludf.DUMMYFUNCTION("IF($B24="""","""",IF(SUMPRODUCT((RASTREABILIDADE!$A$2:$A$2000=""C0"")*(RASTREABILIDADE!$F$2:$F$2000=""Sim"")*REGEXMATCH(RASTREABILIDADE!$E$2:$E$2000,""(^|[^A-Za-z0-9])""&amp;$B24&amp;""($|[^A-Za-z0-9])"")*(((RESUMO!$B$5=""Todas"")+(RASTREABILIDADE!$C$2:$C$2000=RE"&amp;"SUMO!$B$5))&gt;0)*(((RESUMO!$B$6=""Todas"")+(RASTREABILIDADE!$B$2:$B$2000=RESUMO!$B$6))&gt;0))&gt;0,1,0))"),0.0)</f>
        <v>0</v>
      </c>
      <c r="F24" s="47">
        <f>IFERROR(__xludf.DUMMYFUNCTION("IF($B24="""","""",IF(SUMPRODUCT((RASTREABILIDADE!$A$2:$A$2000=""C1"")*(RASTREABILIDADE!$F$2:$F$2000=""Sim"")*REGEXMATCH(RASTREABILIDADE!$E$2:$E$2000,""(^|[^A-Za-z0-9])""&amp;$B24&amp;""($|[^A-Za-z0-9])"")*(((RESUMO!$B$5=""Todas"")+(RASTREABILIDADE!$C$2:$C$2000=RE"&amp;"SUMO!$B$5))&gt;0)*(((RESUMO!$B$6=""Todas"")+(RASTREABILIDADE!$B$2:$B$2000=RESUMO!$B$6))&gt;0))&gt;0,1,0))"),1.0)</f>
        <v>1</v>
      </c>
      <c r="G24" s="47">
        <f>IFERROR(__xludf.DUMMYFUNCTION("IF($B24="""","""",IF(SUMPRODUCT((RASTREABILIDADE!$A$2:$A$2000=""C2"")*(RASTREABILIDADE!$F$2:$F$2000=""Sim"")*REGEXMATCH(RASTREABILIDADE!$E$2:$E$2000,""(^|[^A-Za-z0-9])""&amp;$B24&amp;""($|[^A-Za-z0-9])"")*(((RESUMO!$B$5=""Todas"")+(RASTREABILIDADE!$C$2:$C$2000=RE"&amp;"SUMO!$B$5))&gt;0)*(((RESUMO!$B$6=""Todas"")+(RASTREABILIDADE!$B$2:$B$2000=RESUMO!$B$6))&gt;0))&gt;0,1,0))"),1.0)</f>
        <v>1</v>
      </c>
      <c r="H24" s="47" t="str">
        <f>IF(OR($C24="",$D24&lt;&gt;"Sim"),"",IF(COUNTIFS(RASTREABILIDADE!$A:$A,"C0",RASTREABILIDADE!$G:$G,$C24,RASTREABILIDADE!$H:$H,"Sim",RASTREABILIDADE!$C:$C,IF(RESUMO!$B$5="Todas","&lt;&gt;",RESUMO!$B$5),RASTREABILIDADE!$B:$B,IF(RESUMO!$B$6="Todas","&lt;&gt;",RESUMO!$B$6))&gt;0,1,0))</f>
        <v/>
      </c>
      <c r="I24" s="47" t="str">
        <f>IF(OR($C24="",$D24&lt;&gt;"Sim"),"",IF(COUNTIFS(RASTREABILIDADE!$A:$A,"C1",RASTREABILIDADE!$G:$G,$C24,RASTREABILIDADE!$H:$H,"Sim",RASTREABILIDADE!$C:$C,IF(RESUMO!$B$5="Todas","&lt;&gt;",RESUMO!$B$5),RASTREABILIDADE!$B:$B,IF(RESUMO!$B$6="Todas","&lt;&gt;",RESUMO!$B$6))&gt;0,1,0))</f>
        <v/>
      </c>
      <c r="J24" s="47" t="str">
        <f>IF(OR($C24="",$D24&lt;&gt;"Sim"),"",IF(COUNTIFS(RASTREABILIDADE!$A:$A,"C2",RASTREABILIDADE!$G:$G,$C24,RASTREABILIDADE!$H:$H,"Sim",RASTREABILIDADE!$C:$C,IF(RESUMO!$B$5="Todas","&lt;&gt;",RESUMO!$B$5),RASTREABILIDADE!$B:$B,IF(RESUMO!$B$6="Todas","&lt;&gt;",RESUMO!$B$6))&gt;0,1,0))</f>
        <v/>
      </c>
    </row>
    <row r="25" ht="15.75" customHeight="1">
      <c r="A25" s="47">
        <v>25.0</v>
      </c>
      <c r="B25" s="47" t="str">
        <f>IF(GABARITO!$B26="","",IF(COUNTIF(GABARITO!$B$4:$B26,GABARITO!$B26)=1,GABARITO!$B26,""))</f>
        <v>RN21</v>
      </c>
      <c r="C25" s="47" t="str">
        <f>IF(GABARITO!$G26="","",GABARITO!$G26)</f>
        <v>SC19</v>
      </c>
      <c r="D25" s="47" t="str">
        <f>IF(GABARITO!$J26="","",GABARITO!$J26)</f>
        <v>Não</v>
      </c>
      <c r="E25" s="47">
        <f>IFERROR(__xludf.DUMMYFUNCTION("IF($B25="""","""",IF(SUMPRODUCT((RASTREABILIDADE!$A$2:$A$2000=""C0"")*(RASTREABILIDADE!$F$2:$F$2000=""Sim"")*REGEXMATCH(RASTREABILIDADE!$E$2:$E$2000,""(^|[^A-Za-z0-9])""&amp;$B25&amp;""($|[^A-Za-z0-9])"")*(((RESUMO!$B$5=""Todas"")+(RASTREABILIDADE!$C$2:$C$2000=RE"&amp;"SUMO!$B$5))&gt;0)*(((RESUMO!$B$6=""Todas"")+(RASTREABILIDADE!$B$2:$B$2000=RESUMO!$B$6))&gt;0))&gt;0,1,0))"),1.0)</f>
        <v>1</v>
      </c>
      <c r="F25" s="47">
        <f>IFERROR(__xludf.DUMMYFUNCTION("IF($B25="""","""",IF(SUMPRODUCT((RASTREABILIDADE!$A$2:$A$2000=""C1"")*(RASTREABILIDADE!$F$2:$F$2000=""Sim"")*REGEXMATCH(RASTREABILIDADE!$E$2:$E$2000,""(^|[^A-Za-z0-9])""&amp;$B25&amp;""($|[^A-Za-z0-9])"")*(((RESUMO!$B$5=""Todas"")+(RASTREABILIDADE!$C$2:$C$2000=RE"&amp;"SUMO!$B$5))&gt;0)*(((RESUMO!$B$6=""Todas"")+(RASTREABILIDADE!$B$2:$B$2000=RESUMO!$B$6))&gt;0))&gt;0,1,0))"),1.0)</f>
        <v>1</v>
      </c>
      <c r="G25" s="47">
        <f>IFERROR(__xludf.DUMMYFUNCTION("IF($B25="""","""",IF(SUMPRODUCT((RASTREABILIDADE!$A$2:$A$2000=""C2"")*(RASTREABILIDADE!$F$2:$F$2000=""Sim"")*REGEXMATCH(RASTREABILIDADE!$E$2:$E$2000,""(^|[^A-Za-z0-9])""&amp;$B25&amp;""($|[^A-Za-z0-9])"")*(((RESUMO!$B$5=""Todas"")+(RASTREABILIDADE!$C$2:$C$2000=RE"&amp;"SUMO!$B$5))&gt;0)*(((RESUMO!$B$6=""Todas"")+(RASTREABILIDADE!$B$2:$B$2000=RESUMO!$B$6))&gt;0))&gt;0,1,0))"),1.0)</f>
        <v>1</v>
      </c>
      <c r="H25" s="47" t="str">
        <f>IF(OR($C25="",$D25&lt;&gt;"Sim"),"",IF(COUNTIFS(RASTREABILIDADE!$A:$A,"C0",RASTREABILIDADE!$G:$G,$C25,RASTREABILIDADE!$H:$H,"Sim",RASTREABILIDADE!$C:$C,IF(RESUMO!$B$5="Todas","&lt;&gt;",RESUMO!$B$5),RASTREABILIDADE!$B:$B,IF(RESUMO!$B$6="Todas","&lt;&gt;",RESUMO!$B$6))&gt;0,1,0))</f>
        <v/>
      </c>
      <c r="I25" s="47" t="str">
        <f>IF(OR($C25="",$D25&lt;&gt;"Sim"),"",IF(COUNTIFS(RASTREABILIDADE!$A:$A,"C1",RASTREABILIDADE!$G:$G,$C25,RASTREABILIDADE!$H:$H,"Sim",RASTREABILIDADE!$C:$C,IF(RESUMO!$B$5="Todas","&lt;&gt;",RESUMO!$B$5),RASTREABILIDADE!$B:$B,IF(RESUMO!$B$6="Todas","&lt;&gt;",RESUMO!$B$6))&gt;0,1,0))</f>
        <v/>
      </c>
      <c r="J25" s="47" t="str">
        <f>IF(OR($C25="",$D25&lt;&gt;"Sim"),"",IF(COUNTIFS(RASTREABILIDADE!$A:$A,"C2",RASTREABILIDADE!$G:$G,$C25,RASTREABILIDADE!$H:$H,"Sim",RASTREABILIDADE!$C:$C,IF(RESUMO!$B$5="Todas","&lt;&gt;",RESUMO!$B$5),RASTREABILIDADE!$B:$B,IF(RESUMO!$B$6="Todas","&lt;&gt;",RESUMO!$B$6))&gt;0,1,0))</f>
        <v/>
      </c>
    </row>
    <row r="26" ht="15.75" customHeight="1">
      <c r="A26" s="47">
        <v>26.0</v>
      </c>
      <c r="B26" s="47" t="str">
        <f>IF(GABARITO!$B27="","",IF(COUNTIF(GABARITO!$B$4:$B27,GABARITO!$B27)=1,GABARITO!$B27,""))</f>
        <v>RN22</v>
      </c>
      <c r="C26" s="47" t="str">
        <f>IF(GABARITO!$G27="","",GABARITO!$G27)</f>
        <v>SC19</v>
      </c>
      <c r="D26" s="47" t="str">
        <f>IF(GABARITO!$J27="","",GABARITO!$J27)</f>
        <v>Não</v>
      </c>
      <c r="E26" s="47">
        <f>IFERROR(__xludf.DUMMYFUNCTION("IF($B26="""","""",IF(SUMPRODUCT((RASTREABILIDADE!$A$2:$A$2000=""C0"")*(RASTREABILIDADE!$F$2:$F$2000=""Sim"")*REGEXMATCH(RASTREABILIDADE!$E$2:$E$2000,""(^|[^A-Za-z0-9])""&amp;$B26&amp;""($|[^A-Za-z0-9])"")*(((RESUMO!$B$5=""Todas"")+(RASTREABILIDADE!$C$2:$C$2000=RE"&amp;"SUMO!$B$5))&gt;0)*(((RESUMO!$B$6=""Todas"")+(RASTREABILIDADE!$B$2:$B$2000=RESUMO!$B$6))&gt;0))&gt;0,1,0))"),1.0)</f>
        <v>1</v>
      </c>
      <c r="F26" s="47">
        <f>IFERROR(__xludf.DUMMYFUNCTION("IF($B26="""","""",IF(SUMPRODUCT((RASTREABILIDADE!$A$2:$A$2000=""C1"")*(RASTREABILIDADE!$F$2:$F$2000=""Sim"")*REGEXMATCH(RASTREABILIDADE!$E$2:$E$2000,""(^|[^A-Za-z0-9])""&amp;$B26&amp;""($|[^A-Za-z0-9])"")*(((RESUMO!$B$5=""Todas"")+(RASTREABILIDADE!$C$2:$C$2000=RE"&amp;"SUMO!$B$5))&gt;0)*(((RESUMO!$B$6=""Todas"")+(RASTREABILIDADE!$B$2:$B$2000=RESUMO!$B$6))&gt;0))&gt;0,1,0))"),1.0)</f>
        <v>1</v>
      </c>
      <c r="G26" s="47">
        <f>IFERROR(__xludf.DUMMYFUNCTION("IF($B26="""","""",IF(SUMPRODUCT((RASTREABILIDADE!$A$2:$A$2000=""C2"")*(RASTREABILIDADE!$F$2:$F$2000=""Sim"")*REGEXMATCH(RASTREABILIDADE!$E$2:$E$2000,""(^|[^A-Za-z0-9])""&amp;$B26&amp;""($|[^A-Za-z0-9])"")*(((RESUMO!$B$5=""Todas"")+(RASTREABILIDADE!$C$2:$C$2000=RE"&amp;"SUMO!$B$5))&gt;0)*(((RESUMO!$B$6=""Todas"")+(RASTREABILIDADE!$B$2:$B$2000=RESUMO!$B$6))&gt;0))&gt;0,1,0))"),1.0)</f>
        <v>1</v>
      </c>
      <c r="H26" s="47" t="str">
        <f>IF(OR($C26="",$D26&lt;&gt;"Sim"),"",IF(COUNTIFS(RASTREABILIDADE!$A:$A,"C0",RASTREABILIDADE!$G:$G,$C26,RASTREABILIDADE!$H:$H,"Sim",RASTREABILIDADE!$C:$C,IF(RESUMO!$B$5="Todas","&lt;&gt;",RESUMO!$B$5),RASTREABILIDADE!$B:$B,IF(RESUMO!$B$6="Todas","&lt;&gt;",RESUMO!$B$6))&gt;0,1,0))</f>
        <v/>
      </c>
      <c r="I26" s="47" t="str">
        <f>IF(OR($C26="",$D26&lt;&gt;"Sim"),"",IF(COUNTIFS(RASTREABILIDADE!$A:$A,"C1",RASTREABILIDADE!$G:$G,$C26,RASTREABILIDADE!$H:$H,"Sim",RASTREABILIDADE!$C:$C,IF(RESUMO!$B$5="Todas","&lt;&gt;",RESUMO!$B$5),RASTREABILIDADE!$B:$B,IF(RESUMO!$B$6="Todas","&lt;&gt;",RESUMO!$B$6))&gt;0,1,0))</f>
        <v/>
      </c>
      <c r="J26" s="47" t="str">
        <f>IF(OR($C26="",$D26&lt;&gt;"Sim"),"",IF(COUNTIFS(RASTREABILIDADE!$A:$A,"C2",RASTREABILIDADE!$G:$G,$C26,RASTREABILIDADE!$H:$H,"Sim",RASTREABILIDADE!$C:$C,IF(RESUMO!$B$5="Todas","&lt;&gt;",RESUMO!$B$5),RASTREABILIDADE!$B:$B,IF(RESUMO!$B$6="Todas","&lt;&gt;",RESUMO!$B$6))&gt;0,1,0))</f>
        <v/>
      </c>
    </row>
    <row r="27" ht="15.75" customHeight="1">
      <c r="A27" s="47">
        <v>27.0</v>
      </c>
      <c r="B27" s="47" t="str">
        <f>IF(GABARITO!$B28="","",IF(COUNTIF(GABARITO!$B$4:$B28,GABARITO!$B28)=1,GABARITO!$B28,""))</f>
        <v>RN23</v>
      </c>
      <c r="C27" s="47" t="str">
        <f>IF(GABARITO!$G28="","",GABARITO!$G28)</f>
        <v>SC20</v>
      </c>
      <c r="D27" s="47" t="str">
        <f>IF(GABARITO!$J28="","",GABARITO!$J28)</f>
        <v>Não</v>
      </c>
      <c r="E27" s="47">
        <f>IFERROR(__xludf.DUMMYFUNCTION("IF($B27="""","""",IF(SUMPRODUCT((RASTREABILIDADE!$A$2:$A$2000=""C0"")*(RASTREABILIDADE!$F$2:$F$2000=""Sim"")*REGEXMATCH(RASTREABILIDADE!$E$2:$E$2000,""(^|[^A-Za-z0-9])""&amp;$B27&amp;""($|[^A-Za-z0-9])"")*(((RESUMO!$B$5=""Todas"")+(RASTREABILIDADE!$C$2:$C$2000=RE"&amp;"SUMO!$B$5))&gt;0)*(((RESUMO!$B$6=""Todas"")+(RASTREABILIDADE!$B$2:$B$2000=RESUMO!$B$6))&gt;0))&gt;0,1,0))"),0.0)</f>
        <v>0</v>
      </c>
      <c r="F27" s="47">
        <f>IFERROR(__xludf.DUMMYFUNCTION("IF($B27="""","""",IF(SUMPRODUCT((RASTREABILIDADE!$A$2:$A$2000=""C1"")*(RASTREABILIDADE!$F$2:$F$2000=""Sim"")*REGEXMATCH(RASTREABILIDADE!$E$2:$E$2000,""(^|[^A-Za-z0-9])""&amp;$B27&amp;""($|[^A-Za-z0-9])"")*(((RESUMO!$B$5=""Todas"")+(RASTREABILIDADE!$C$2:$C$2000=RE"&amp;"SUMO!$B$5))&gt;0)*(((RESUMO!$B$6=""Todas"")+(RASTREABILIDADE!$B$2:$B$2000=RESUMO!$B$6))&gt;0))&gt;0,1,0))"),1.0)</f>
        <v>1</v>
      </c>
      <c r="G27" s="47">
        <f>IFERROR(__xludf.DUMMYFUNCTION("IF($B27="""","""",IF(SUMPRODUCT((RASTREABILIDADE!$A$2:$A$2000=""C2"")*(RASTREABILIDADE!$F$2:$F$2000=""Sim"")*REGEXMATCH(RASTREABILIDADE!$E$2:$E$2000,""(^|[^A-Za-z0-9])""&amp;$B27&amp;""($|[^A-Za-z0-9])"")*(((RESUMO!$B$5=""Todas"")+(RASTREABILIDADE!$C$2:$C$2000=RE"&amp;"SUMO!$B$5))&gt;0)*(((RESUMO!$B$6=""Todas"")+(RASTREABILIDADE!$B$2:$B$2000=RESUMO!$B$6))&gt;0))&gt;0,1,0))"),1.0)</f>
        <v>1</v>
      </c>
      <c r="H27" s="47" t="str">
        <f>IF(OR($C27="",$D27&lt;&gt;"Sim"),"",IF(COUNTIFS(RASTREABILIDADE!$A:$A,"C0",RASTREABILIDADE!$G:$G,$C27,RASTREABILIDADE!$H:$H,"Sim",RASTREABILIDADE!$C:$C,IF(RESUMO!$B$5="Todas","&lt;&gt;",RESUMO!$B$5),RASTREABILIDADE!$B:$B,IF(RESUMO!$B$6="Todas","&lt;&gt;",RESUMO!$B$6))&gt;0,1,0))</f>
        <v/>
      </c>
      <c r="I27" s="47" t="str">
        <f>IF(OR($C27="",$D27&lt;&gt;"Sim"),"",IF(COUNTIFS(RASTREABILIDADE!$A:$A,"C1",RASTREABILIDADE!$G:$G,$C27,RASTREABILIDADE!$H:$H,"Sim",RASTREABILIDADE!$C:$C,IF(RESUMO!$B$5="Todas","&lt;&gt;",RESUMO!$B$5),RASTREABILIDADE!$B:$B,IF(RESUMO!$B$6="Todas","&lt;&gt;",RESUMO!$B$6))&gt;0,1,0))</f>
        <v/>
      </c>
      <c r="J27" s="47" t="str">
        <f>IF(OR($C27="",$D27&lt;&gt;"Sim"),"",IF(COUNTIFS(RASTREABILIDADE!$A:$A,"C2",RASTREABILIDADE!$G:$G,$C27,RASTREABILIDADE!$H:$H,"Sim",RASTREABILIDADE!$C:$C,IF(RESUMO!$B$5="Todas","&lt;&gt;",RESUMO!$B$5),RASTREABILIDADE!$B:$B,IF(RESUMO!$B$6="Todas","&lt;&gt;",RESUMO!$B$6))&gt;0,1,0))</f>
        <v/>
      </c>
    </row>
    <row r="28" ht="15.75" customHeight="1">
      <c r="A28" s="47">
        <v>28.0</v>
      </c>
      <c r="B28" s="47" t="str">
        <f>IF(GABARITO!$B29="","",IF(COUNTIF(GABARITO!$B$4:$B29,GABARITO!$B29)=1,GABARITO!$B29,""))</f>
        <v>RN24</v>
      </c>
      <c r="C28" s="47" t="str">
        <f>IF(GABARITO!$G29="","",GABARITO!$G29)</f>
        <v>SC21</v>
      </c>
      <c r="D28" s="47" t="str">
        <f>IF(GABARITO!$J29="","",GABARITO!$J29)</f>
        <v>Não</v>
      </c>
      <c r="E28" s="47">
        <f>IFERROR(__xludf.DUMMYFUNCTION("IF($B28="""","""",IF(SUMPRODUCT((RASTREABILIDADE!$A$2:$A$2000=""C0"")*(RASTREABILIDADE!$F$2:$F$2000=""Sim"")*REGEXMATCH(RASTREABILIDADE!$E$2:$E$2000,""(^|[^A-Za-z0-9])""&amp;$B28&amp;""($|[^A-Za-z0-9])"")*(((RESUMO!$B$5=""Todas"")+(RASTREABILIDADE!$C$2:$C$2000=RE"&amp;"SUMO!$B$5))&gt;0)*(((RESUMO!$B$6=""Todas"")+(RASTREABILIDADE!$B$2:$B$2000=RESUMO!$B$6))&gt;0))&gt;0,1,0))"),0.0)</f>
        <v>0</v>
      </c>
      <c r="F28" s="47">
        <f>IFERROR(__xludf.DUMMYFUNCTION("IF($B28="""","""",IF(SUMPRODUCT((RASTREABILIDADE!$A$2:$A$2000=""C1"")*(RASTREABILIDADE!$F$2:$F$2000=""Sim"")*REGEXMATCH(RASTREABILIDADE!$E$2:$E$2000,""(^|[^A-Za-z0-9])""&amp;$B28&amp;""($|[^A-Za-z0-9])"")*(((RESUMO!$B$5=""Todas"")+(RASTREABILIDADE!$C$2:$C$2000=RE"&amp;"SUMO!$B$5))&gt;0)*(((RESUMO!$B$6=""Todas"")+(RASTREABILIDADE!$B$2:$B$2000=RESUMO!$B$6))&gt;0))&gt;0,1,0))"),1.0)</f>
        <v>1</v>
      </c>
      <c r="G28" s="47">
        <f>IFERROR(__xludf.DUMMYFUNCTION("IF($B28="""","""",IF(SUMPRODUCT((RASTREABILIDADE!$A$2:$A$2000=""C2"")*(RASTREABILIDADE!$F$2:$F$2000=""Sim"")*REGEXMATCH(RASTREABILIDADE!$E$2:$E$2000,""(^|[^A-Za-z0-9])""&amp;$B28&amp;""($|[^A-Za-z0-9])"")*(((RESUMO!$B$5=""Todas"")+(RASTREABILIDADE!$C$2:$C$2000=RE"&amp;"SUMO!$B$5))&gt;0)*(((RESUMO!$B$6=""Todas"")+(RASTREABILIDADE!$B$2:$B$2000=RESUMO!$B$6))&gt;0))&gt;0,1,0))"),1.0)</f>
        <v>1</v>
      </c>
      <c r="H28" s="47" t="str">
        <f>IF(OR($C28="",$D28&lt;&gt;"Sim"),"",IF(COUNTIFS(RASTREABILIDADE!$A:$A,"C0",RASTREABILIDADE!$G:$G,$C28,RASTREABILIDADE!$H:$H,"Sim",RASTREABILIDADE!$C:$C,IF(RESUMO!$B$5="Todas","&lt;&gt;",RESUMO!$B$5),RASTREABILIDADE!$B:$B,IF(RESUMO!$B$6="Todas","&lt;&gt;",RESUMO!$B$6))&gt;0,1,0))</f>
        <v/>
      </c>
      <c r="I28" s="47" t="str">
        <f>IF(OR($C28="",$D28&lt;&gt;"Sim"),"",IF(COUNTIFS(RASTREABILIDADE!$A:$A,"C1",RASTREABILIDADE!$G:$G,$C28,RASTREABILIDADE!$H:$H,"Sim",RASTREABILIDADE!$C:$C,IF(RESUMO!$B$5="Todas","&lt;&gt;",RESUMO!$B$5),RASTREABILIDADE!$B:$B,IF(RESUMO!$B$6="Todas","&lt;&gt;",RESUMO!$B$6))&gt;0,1,0))</f>
        <v/>
      </c>
      <c r="J28" s="47" t="str">
        <f>IF(OR($C28="",$D28&lt;&gt;"Sim"),"",IF(COUNTIFS(RASTREABILIDADE!$A:$A,"C2",RASTREABILIDADE!$G:$G,$C28,RASTREABILIDADE!$H:$H,"Sim",RASTREABILIDADE!$C:$C,IF(RESUMO!$B$5="Todas","&lt;&gt;",RESUMO!$B$5),RASTREABILIDADE!$B:$B,IF(RESUMO!$B$6="Todas","&lt;&gt;",RESUMO!$B$6))&gt;0,1,0))</f>
        <v/>
      </c>
    </row>
    <row r="29" ht="15.75" customHeight="1">
      <c r="A29" s="47">
        <v>29.0</v>
      </c>
      <c r="B29" s="47" t="str">
        <f>IF(GABARITO!$B30="","",IF(COUNTIF(GABARITO!$B$4:$B30,GABARITO!$B30)=1,GABARITO!$B30,""))</f>
        <v/>
      </c>
      <c r="C29" s="47" t="str">
        <f>IF(GABARITO!$G30="","",GABARITO!$G30)</f>
        <v/>
      </c>
      <c r="D29" s="47" t="str">
        <f>IF(GABARITO!$J30="","",GABARITO!$J30)</f>
        <v/>
      </c>
      <c r="E29" s="47" t="str">
        <f>IFERROR(__xludf.DUMMYFUNCTION("IF($B29="""","""",IF(SUMPRODUCT((RASTREABILIDADE!$A$2:$A$2000=""C0"")*(RASTREABILIDADE!$F$2:$F$2000=""Sim"")*REGEXMATCH(RASTREABILIDADE!$E$2:$E$2000,""(^|[^A-Za-z0-9])""&amp;$B29&amp;""($|[^A-Za-z0-9])"")*(((RESUMO!$B$5=""Todas"")+(RASTREABILIDADE!$C$2:$C$2000=RE"&amp;"SUMO!$B$5))&gt;0)*(((RESUMO!$B$6=""Todas"")+(RASTREABILIDADE!$B$2:$B$2000=RESUMO!$B$6))&gt;0))&gt;0,1,0))"),"")</f>
        <v/>
      </c>
      <c r="F29" s="47" t="str">
        <f>IFERROR(__xludf.DUMMYFUNCTION("IF($B29="""","""",IF(SUMPRODUCT((RASTREABILIDADE!$A$2:$A$2000=""C1"")*(RASTREABILIDADE!$F$2:$F$2000=""Sim"")*REGEXMATCH(RASTREABILIDADE!$E$2:$E$2000,""(^|[^A-Za-z0-9])""&amp;$B29&amp;""($|[^A-Za-z0-9])"")*(((RESUMO!$B$5=""Todas"")+(RASTREABILIDADE!$C$2:$C$2000=RE"&amp;"SUMO!$B$5))&gt;0)*(((RESUMO!$B$6=""Todas"")+(RASTREABILIDADE!$B$2:$B$2000=RESUMO!$B$6))&gt;0))&gt;0,1,0))"),"")</f>
        <v/>
      </c>
      <c r="G29" s="47" t="str">
        <f>IFERROR(__xludf.DUMMYFUNCTION("IF($B29="""","""",IF(SUMPRODUCT((RASTREABILIDADE!$A$2:$A$2000=""C2"")*(RASTREABILIDADE!$F$2:$F$2000=""Sim"")*REGEXMATCH(RASTREABILIDADE!$E$2:$E$2000,""(^|[^A-Za-z0-9])""&amp;$B29&amp;""($|[^A-Za-z0-9])"")*(((RESUMO!$B$5=""Todas"")+(RASTREABILIDADE!$C$2:$C$2000=RE"&amp;"SUMO!$B$5))&gt;0)*(((RESUMO!$B$6=""Todas"")+(RASTREABILIDADE!$B$2:$B$2000=RESUMO!$B$6))&gt;0))&gt;0,1,0))"),"")</f>
        <v/>
      </c>
      <c r="H29" s="47" t="str">
        <f>IF(OR($C29="",$D29&lt;&gt;"Sim"),"",IF(COUNTIFS(RASTREABILIDADE!$A:$A,"C0",RASTREABILIDADE!$G:$G,$C29,RASTREABILIDADE!$H:$H,"Sim",RASTREABILIDADE!$C:$C,IF(RESUMO!$B$5="Todas","&lt;&gt;",RESUMO!$B$5),RASTREABILIDADE!$B:$B,IF(RESUMO!$B$6="Todas","&lt;&gt;",RESUMO!$B$6))&gt;0,1,0))</f>
        <v/>
      </c>
      <c r="I29" s="47" t="str">
        <f>IF(OR($C29="",$D29&lt;&gt;"Sim"),"",IF(COUNTIFS(RASTREABILIDADE!$A:$A,"C1",RASTREABILIDADE!$G:$G,$C29,RASTREABILIDADE!$H:$H,"Sim",RASTREABILIDADE!$C:$C,IF(RESUMO!$B$5="Todas","&lt;&gt;",RESUMO!$B$5),RASTREABILIDADE!$B:$B,IF(RESUMO!$B$6="Todas","&lt;&gt;",RESUMO!$B$6))&gt;0,1,0))</f>
        <v/>
      </c>
      <c r="J29" s="47" t="str">
        <f>IF(OR($C29="",$D29&lt;&gt;"Sim"),"",IF(COUNTIFS(RASTREABILIDADE!$A:$A,"C2",RASTREABILIDADE!$G:$G,$C29,RASTREABILIDADE!$H:$H,"Sim",RASTREABILIDADE!$C:$C,IF(RESUMO!$B$5="Todas","&lt;&gt;",RESUMO!$B$5),RASTREABILIDADE!$B:$B,IF(RESUMO!$B$6="Todas","&lt;&gt;",RESUMO!$B$6))&gt;0,1,0))</f>
        <v/>
      </c>
    </row>
    <row r="30" ht="15.75" customHeight="1">
      <c r="A30" s="47">
        <v>30.0</v>
      </c>
      <c r="B30" s="47" t="str">
        <f>IF(GABARITO!$B31="","",IF(COUNTIF(GABARITO!$B$4:$B31,GABARITO!$B31)=1,GABARITO!$B31,""))</f>
        <v/>
      </c>
      <c r="C30" s="47" t="str">
        <f>IF(GABARITO!$G31="","",GABARITO!$G31)</f>
        <v/>
      </c>
      <c r="D30" s="47" t="str">
        <f>IF(GABARITO!$J31="","",GABARITO!$J31)</f>
        <v/>
      </c>
      <c r="E30" s="47" t="str">
        <f>IFERROR(__xludf.DUMMYFUNCTION("IF($B30="""","""",IF(SUMPRODUCT((RASTREABILIDADE!$A$2:$A$2000=""C0"")*(RASTREABILIDADE!$F$2:$F$2000=""Sim"")*REGEXMATCH(RASTREABILIDADE!$E$2:$E$2000,""(^|[^A-Za-z0-9])""&amp;$B30&amp;""($|[^A-Za-z0-9])"")*(((RESUMO!$B$5=""Todas"")+(RASTREABILIDADE!$C$2:$C$2000=RE"&amp;"SUMO!$B$5))&gt;0)*(((RESUMO!$B$6=""Todas"")+(RASTREABILIDADE!$B$2:$B$2000=RESUMO!$B$6))&gt;0))&gt;0,1,0))"),"")</f>
        <v/>
      </c>
      <c r="F30" s="47" t="str">
        <f>IFERROR(__xludf.DUMMYFUNCTION("IF($B30="""","""",IF(SUMPRODUCT((RASTREABILIDADE!$A$2:$A$2000=""C1"")*(RASTREABILIDADE!$F$2:$F$2000=""Sim"")*REGEXMATCH(RASTREABILIDADE!$E$2:$E$2000,""(^|[^A-Za-z0-9])""&amp;$B30&amp;""($|[^A-Za-z0-9])"")*(((RESUMO!$B$5=""Todas"")+(RASTREABILIDADE!$C$2:$C$2000=RE"&amp;"SUMO!$B$5))&gt;0)*(((RESUMO!$B$6=""Todas"")+(RASTREABILIDADE!$B$2:$B$2000=RESUMO!$B$6))&gt;0))&gt;0,1,0))"),"")</f>
        <v/>
      </c>
      <c r="G30" s="47" t="str">
        <f>IFERROR(__xludf.DUMMYFUNCTION("IF($B30="""","""",IF(SUMPRODUCT((RASTREABILIDADE!$A$2:$A$2000=""C2"")*(RASTREABILIDADE!$F$2:$F$2000=""Sim"")*REGEXMATCH(RASTREABILIDADE!$E$2:$E$2000,""(^|[^A-Za-z0-9])""&amp;$B30&amp;""($|[^A-Za-z0-9])"")*(((RESUMO!$B$5=""Todas"")+(RASTREABILIDADE!$C$2:$C$2000=RE"&amp;"SUMO!$B$5))&gt;0)*(((RESUMO!$B$6=""Todas"")+(RASTREABILIDADE!$B$2:$B$2000=RESUMO!$B$6))&gt;0))&gt;0,1,0))"),"")</f>
        <v/>
      </c>
      <c r="H30" s="47" t="str">
        <f>IF(OR($C30="",$D30&lt;&gt;"Sim"),"",IF(COUNTIFS(RASTREABILIDADE!$A:$A,"C0",RASTREABILIDADE!$G:$G,$C30,RASTREABILIDADE!$H:$H,"Sim",RASTREABILIDADE!$C:$C,IF(RESUMO!$B$5="Todas","&lt;&gt;",RESUMO!$B$5),RASTREABILIDADE!$B:$B,IF(RESUMO!$B$6="Todas","&lt;&gt;",RESUMO!$B$6))&gt;0,1,0))</f>
        <v/>
      </c>
      <c r="I30" s="47" t="str">
        <f>IF(OR($C30="",$D30&lt;&gt;"Sim"),"",IF(COUNTIFS(RASTREABILIDADE!$A:$A,"C1",RASTREABILIDADE!$G:$G,$C30,RASTREABILIDADE!$H:$H,"Sim",RASTREABILIDADE!$C:$C,IF(RESUMO!$B$5="Todas","&lt;&gt;",RESUMO!$B$5),RASTREABILIDADE!$B:$B,IF(RESUMO!$B$6="Todas","&lt;&gt;",RESUMO!$B$6))&gt;0,1,0))</f>
        <v/>
      </c>
      <c r="J30" s="47" t="str">
        <f>IF(OR($C30="",$D30&lt;&gt;"Sim"),"",IF(COUNTIFS(RASTREABILIDADE!$A:$A,"C2",RASTREABILIDADE!$G:$G,$C30,RASTREABILIDADE!$H:$H,"Sim",RASTREABILIDADE!$C:$C,IF(RESUMO!$B$5="Todas","&lt;&gt;",RESUMO!$B$5),RASTREABILIDADE!$B:$B,IF(RESUMO!$B$6="Todas","&lt;&gt;",RESUMO!$B$6))&gt;0,1,0))</f>
        <v/>
      </c>
    </row>
    <row r="31" ht="15.75" customHeight="1">
      <c r="A31" s="47">
        <v>31.0</v>
      </c>
      <c r="B31" s="47" t="str">
        <f>IF(GABARITO!$B32="","",IF(COUNTIF(GABARITO!$B$4:$B32,GABARITO!$B32)=1,GABARITO!$B32,""))</f>
        <v/>
      </c>
      <c r="C31" s="47" t="str">
        <f>IF(GABARITO!$G32="","",GABARITO!$G32)</f>
        <v/>
      </c>
      <c r="D31" s="47" t="str">
        <f>IF(GABARITO!$J32="","",GABARITO!$J32)</f>
        <v/>
      </c>
      <c r="E31" s="47" t="str">
        <f>IFERROR(__xludf.DUMMYFUNCTION("IF($B31="""","""",IF(SUMPRODUCT((RASTREABILIDADE!$A$2:$A$2000=""C0"")*(RASTREABILIDADE!$F$2:$F$2000=""Sim"")*REGEXMATCH(RASTREABILIDADE!$E$2:$E$2000,""(^|[^A-Za-z0-9])""&amp;$B31&amp;""($|[^A-Za-z0-9])"")*(((RESUMO!$B$5=""Todas"")+(RASTREABILIDADE!$C$2:$C$2000=RE"&amp;"SUMO!$B$5))&gt;0)*(((RESUMO!$B$6=""Todas"")+(RASTREABILIDADE!$B$2:$B$2000=RESUMO!$B$6))&gt;0))&gt;0,1,0))"),"")</f>
        <v/>
      </c>
      <c r="F31" s="47" t="str">
        <f>IFERROR(__xludf.DUMMYFUNCTION("IF($B31="""","""",IF(SUMPRODUCT((RASTREABILIDADE!$A$2:$A$2000=""C1"")*(RASTREABILIDADE!$F$2:$F$2000=""Sim"")*REGEXMATCH(RASTREABILIDADE!$E$2:$E$2000,""(^|[^A-Za-z0-9])""&amp;$B31&amp;""($|[^A-Za-z0-9])"")*(((RESUMO!$B$5=""Todas"")+(RASTREABILIDADE!$C$2:$C$2000=RE"&amp;"SUMO!$B$5))&gt;0)*(((RESUMO!$B$6=""Todas"")+(RASTREABILIDADE!$B$2:$B$2000=RESUMO!$B$6))&gt;0))&gt;0,1,0))"),"")</f>
        <v/>
      </c>
      <c r="G31" s="47" t="str">
        <f>IFERROR(__xludf.DUMMYFUNCTION("IF($B31="""","""",IF(SUMPRODUCT((RASTREABILIDADE!$A$2:$A$2000=""C2"")*(RASTREABILIDADE!$F$2:$F$2000=""Sim"")*REGEXMATCH(RASTREABILIDADE!$E$2:$E$2000,""(^|[^A-Za-z0-9])""&amp;$B31&amp;""($|[^A-Za-z0-9])"")*(((RESUMO!$B$5=""Todas"")+(RASTREABILIDADE!$C$2:$C$2000=RE"&amp;"SUMO!$B$5))&gt;0)*(((RESUMO!$B$6=""Todas"")+(RASTREABILIDADE!$B$2:$B$2000=RESUMO!$B$6))&gt;0))&gt;0,1,0))"),"")</f>
        <v/>
      </c>
      <c r="H31" s="47" t="str">
        <f>IF(OR($C31="",$D31&lt;&gt;"Sim"),"",IF(COUNTIFS(RASTREABILIDADE!$A:$A,"C0",RASTREABILIDADE!$G:$G,$C31,RASTREABILIDADE!$H:$H,"Sim",RASTREABILIDADE!$C:$C,IF(RESUMO!$B$5="Todas","&lt;&gt;",RESUMO!$B$5),RASTREABILIDADE!$B:$B,IF(RESUMO!$B$6="Todas","&lt;&gt;",RESUMO!$B$6))&gt;0,1,0))</f>
        <v/>
      </c>
      <c r="I31" s="47" t="str">
        <f>IF(OR($C31="",$D31&lt;&gt;"Sim"),"",IF(COUNTIFS(RASTREABILIDADE!$A:$A,"C1",RASTREABILIDADE!$G:$G,$C31,RASTREABILIDADE!$H:$H,"Sim",RASTREABILIDADE!$C:$C,IF(RESUMO!$B$5="Todas","&lt;&gt;",RESUMO!$B$5),RASTREABILIDADE!$B:$B,IF(RESUMO!$B$6="Todas","&lt;&gt;",RESUMO!$B$6))&gt;0,1,0))</f>
        <v/>
      </c>
      <c r="J31" s="47" t="str">
        <f>IF(OR($C31="",$D31&lt;&gt;"Sim"),"",IF(COUNTIFS(RASTREABILIDADE!$A:$A,"C2",RASTREABILIDADE!$G:$G,$C31,RASTREABILIDADE!$H:$H,"Sim",RASTREABILIDADE!$C:$C,IF(RESUMO!$B$5="Todas","&lt;&gt;",RESUMO!$B$5),RASTREABILIDADE!$B:$B,IF(RESUMO!$B$6="Todas","&lt;&gt;",RESUMO!$B$6))&gt;0,1,0))</f>
        <v/>
      </c>
    </row>
    <row r="32" ht="15.75" customHeight="1">
      <c r="A32" s="47">
        <v>32.0</v>
      </c>
      <c r="B32" s="47" t="str">
        <f>IF(GABARITO!$B33="","",IF(COUNTIF(GABARITO!$B$4:$B33,GABARITO!$B33)=1,GABARITO!$B33,""))</f>
        <v/>
      </c>
      <c r="C32" s="47" t="str">
        <f>IF(GABARITO!$G33="","",GABARITO!$G33)</f>
        <v/>
      </c>
      <c r="D32" s="47" t="str">
        <f>IF(GABARITO!$J33="","",GABARITO!$J33)</f>
        <v/>
      </c>
      <c r="E32" s="47" t="str">
        <f>IFERROR(__xludf.DUMMYFUNCTION("IF($B32="""","""",IF(SUMPRODUCT((RASTREABILIDADE!$A$2:$A$2000=""C0"")*(RASTREABILIDADE!$F$2:$F$2000=""Sim"")*REGEXMATCH(RASTREABILIDADE!$E$2:$E$2000,""(^|[^A-Za-z0-9])""&amp;$B32&amp;""($|[^A-Za-z0-9])"")*(((RESUMO!$B$5=""Todas"")+(RASTREABILIDADE!$C$2:$C$2000=RE"&amp;"SUMO!$B$5))&gt;0)*(((RESUMO!$B$6=""Todas"")+(RASTREABILIDADE!$B$2:$B$2000=RESUMO!$B$6))&gt;0))&gt;0,1,0))"),"")</f>
        <v/>
      </c>
      <c r="F32" s="47" t="str">
        <f>IFERROR(__xludf.DUMMYFUNCTION("IF($B32="""","""",IF(SUMPRODUCT((RASTREABILIDADE!$A$2:$A$2000=""C1"")*(RASTREABILIDADE!$F$2:$F$2000=""Sim"")*REGEXMATCH(RASTREABILIDADE!$E$2:$E$2000,""(^|[^A-Za-z0-9])""&amp;$B32&amp;""($|[^A-Za-z0-9])"")*(((RESUMO!$B$5=""Todas"")+(RASTREABILIDADE!$C$2:$C$2000=RE"&amp;"SUMO!$B$5))&gt;0)*(((RESUMO!$B$6=""Todas"")+(RASTREABILIDADE!$B$2:$B$2000=RESUMO!$B$6))&gt;0))&gt;0,1,0))"),"")</f>
        <v/>
      </c>
      <c r="G32" s="47" t="str">
        <f>IFERROR(__xludf.DUMMYFUNCTION("IF($B32="""","""",IF(SUMPRODUCT((RASTREABILIDADE!$A$2:$A$2000=""C2"")*(RASTREABILIDADE!$F$2:$F$2000=""Sim"")*REGEXMATCH(RASTREABILIDADE!$E$2:$E$2000,""(^|[^A-Za-z0-9])""&amp;$B32&amp;""($|[^A-Za-z0-9])"")*(((RESUMO!$B$5=""Todas"")+(RASTREABILIDADE!$C$2:$C$2000=RE"&amp;"SUMO!$B$5))&gt;0)*(((RESUMO!$B$6=""Todas"")+(RASTREABILIDADE!$B$2:$B$2000=RESUMO!$B$6))&gt;0))&gt;0,1,0))"),"")</f>
        <v/>
      </c>
      <c r="H32" s="47" t="str">
        <f>IF(OR($C32="",$D32&lt;&gt;"Sim"),"",IF(COUNTIFS(RASTREABILIDADE!$A:$A,"C0",RASTREABILIDADE!$G:$G,$C32,RASTREABILIDADE!$H:$H,"Sim",RASTREABILIDADE!$C:$C,IF(RESUMO!$B$5="Todas","&lt;&gt;",RESUMO!$B$5),RASTREABILIDADE!$B:$B,IF(RESUMO!$B$6="Todas","&lt;&gt;",RESUMO!$B$6))&gt;0,1,0))</f>
        <v/>
      </c>
      <c r="I32" s="47" t="str">
        <f>IF(OR($C32="",$D32&lt;&gt;"Sim"),"",IF(COUNTIFS(RASTREABILIDADE!$A:$A,"C1",RASTREABILIDADE!$G:$G,$C32,RASTREABILIDADE!$H:$H,"Sim",RASTREABILIDADE!$C:$C,IF(RESUMO!$B$5="Todas","&lt;&gt;",RESUMO!$B$5),RASTREABILIDADE!$B:$B,IF(RESUMO!$B$6="Todas","&lt;&gt;",RESUMO!$B$6))&gt;0,1,0))</f>
        <v/>
      </c>
      <c r="J32" s="47" t="str">
        <f>IF(OR($C32="",$D32&lt;&gt;"Sim"),"",IF(COUNTIFS(RASTREABILIDADE!$A:$A,"C2",RASTREABILIDADE!$G:$G,$C32,RASTREABILIDADE!$H:$H,"Sim",RASTREABILIDADE!$C:$C,IF(RESUMO!$B$5="Todas","&lt;&gt;",RESUMO!$B$5),RASTREABILIDADE!$B:$B,IF(RESUMO!$B$6="Todas","&lt;&gt;",RESUMO!$B$6))&gt;0,1,0))</f>
        <v/>
      </c>
    </row>
    <row r="33" ht="15.75" customHeight="1">
      <c r="A33" s="47">
        <v>33.0</v>
      </c>
      <c r="B33" s="47" t="str">
        <f>IF(GABARITO!$B34="","",IF(COUNTIF(GABARITO!$B$4:$B34,GABARITO!$B34)=1,GABARITO!$B34,""))</f>
        <v/>
      </c>
      <c r="C33" s="47" t="str">
        <f>IF(GABARITO!$G34="","",GABARITO!$G34)</f>
        <v/>
      </c>
      <c r="D33" s="47" t="str">
        <f>IF(GABARITO!$J34="","",GABARITO!$J34)</f>
        <v/>
      </c>
      <c r="E33" s="47" t="str">
        <f>IFERROR(__xludf.DUMMYFUNCTION("IF($B33="""","""",IF(SUMPRODUCT((RASTREABILIDADE!$A$2:$A$2000=""C0"")*(RASTREABILIDADE!$F$2:$F$2000=""Sim"")*REGEXMATCH(RASTREABILIDADE!$E$2:$E$2000,""(^|[^A-Za-z0-9])""&amp;$B33&amp;""($|[^A-Za-z0-9])"")*(((RESUMO!$B$5=""Todas"")+(RASTREABILIDADE!$C$2:$C$2000=RE"&amp;"SUMO!$B$5))&gt;0)*(((RESUMO!$B$6=""Todas"")+(RASTREABILIDADE!$B$2:$B$2000=RESUMO!$B$6))&gt;0))&gt;0,1,0))"),"")</f>
        <v/>
      </c>
      <c r="F33" s="47" t="str">
        <f>IFERROR(__xludf.DUMMYFUNCTION("IF($B33="""","""",IF(SUMPRODUCT((RASTREABILIDADE!$A$2:$A$2000=""C1"")*(RASTREABILIDADE!$F$2:$F$2000=""Sim"")*REGEXMATCH(RASTREABILIDADE!$E$2:$E$2000,""(^|[^A-Za-z0-9])""&amp;$B33&amp;""($|[^A-Za-z0-9])"")*(((RESUMO!$B$5=""Todas"")+(RASTREABILIDADE!$C$2:$C$2000=RE"&amp;"SUMO!$B$5))&gt;0)*(((RESUMO!$B$6=""Todas"")+(RASTREABILIDADE!$B$2:$B$2000=RESUMO!$B$6))&gt;0))&gt;0,1,0))"),"")</f>
        <v/>
      </c>
      <c r="G33" s="47" t="str">
        <f>IFERROR(__xludf.DUMMYFUNCTION("IF($B33="""","""",IF(SUMPRODUCT((RASTREABILIDADE!$A$2:$A$2000=""C2"")*(RASTREABILIDADE!$F$2:$F$2000=""Sim"")*REGEXMATCH(RASTREABILIDADE!$E$2:$E$2000,""(^|[^A-Za-z0-9])""&amp;$B33&amp;""($|[^A-Za-z0-9])"")*(((RESUMO!$B$5=""Todas"")+(RASTREABILIDADE!$C$2:$C$2000=RE"&amp;"SUMO!$B$5))&gt;0)*(((RESUMO!$B$6=""Todas"")+(RASTREABILIDADE!$B$2:$B$2000=RESUMO!$B$6))&gt;0))&gt;0,1,0))"),"")</f>
        <v/>
      </c>
      <c r="H33" s="47" t="str">
        <f>IF(OR($C33="",$D33&lt;&gt;"Sim"),"",IF(COUNTIFS(RASTREABILIDADE!$A:$A,"C0",RASTREABILIDADE!$G:$G,$C33,RASTREABILIDADE!$H:$H,"Sim",RASTREABILIDADE!$C:$C,IF(RESUMO!$B$5="Todas","&lt;&gt;",RESUMO!$B$5),RASTREABILIDADE!$B:$B,IF(RESUMO!$B$6="Todas","&lt;&gt;",RESUMO!$B$6))&gt;0,1,0))</f>
        <v/>
      </c>
      <c r="I33" s="47" t="str">
        <f>IF(OR($C33="",$D33&lt;&gt;"Sim"),"",IF(COUNTIFS(RASTREABILIDADE!$A:$A,"C1",RASTREABILIDADE!$G:$G,$C33,RASTREABILIDADE!$H:$H,"Sim",RASTREABILIDADE!$C:$C,IF(RESUMO!$B$5="Todas","&lt;&gt;",RESUMO!$B$5),RASTREABILIDADE!$B:$B,IF(RESUMO!$B$6="Todas","&lt;&gt;",RESUMO!$B$6))&gt;0,1,0))</f>
        <v/>
      </c>
      <c r="J33" s="47" t="str">
        <f>IF(OR($C33="",$D33&lt;&gt;"Sim"),"",IF(COUNTIFS(RASTREABILIDADE!$A:$A,"C2",RASTREABILIDADE!$G:$G,$C33,RASTREABILIDADE!$H:$H,"Sim",RASTREABILIDADE!$C:$C,IF(RESUMO!$B$5="Todas","&lt;&gt;",RESUMO!$B$5),RASTREABILIDADE!$B:$B,IF(RESUMO!$B$6="Todas","&lt;&gt;",RESUMO!$B$6))&gt;0,1,0))</f>
        <v/>
      </c>
    </row>
    <row r="34" ht="15.75" customHeight="1">
      <c r="A34" s="47">
        <v>34.0</v>
      </c>
      <c r="B34" s="47" t="str">
        <f>IF(GABARITO!$B35="","",IF(COUNTIF(GABARITO!$B$4:$B35,GABARITO!$B35)=1,GABARITO!$B35,""))</f>
        <v/>
      </c>
      <c r="C34" s="47" t="str">
        <f>IF(GABARITO!$G35="","",GABARITO!$G35)</f>
        <v/>
      </c>
      <c r="D34" s="47" t="str">
        <f>IF(GABARITO!$J35="","",GABARITO!$J35)</f>
        <v/>
      </c>
      <c r="E34" s="47" t="str">
        <f>IFERROR(__xludf.DUMMYFUNCTION("IF($B34="""","""",IF(SUMPRODUCT((RASTREABILIDADE!$A$2:$A$2000=""C0"")*(RASTREABILIDADE!$F$2:$F$2000=""Sim"")*REGEXMATCH(RASTREABILIDADE!$E$2:$E$2000,""(^|[^A-Za-z0-9])""&amp;$B34&amp;""($|[^A-Za-z0-9])"")*(((RESUMO!$B$5=""Todas"")+(RASTREABILIDADE!$C$2:$C$2000=RE"&amp;"SUMO!$B$5))&gt;0)*(((RESUMO!$B$6=""Todas"")+(RASTREABILIDADE!$B$2:$B$2000=RESUMO!$B$6))&gt;0))&gt;0,1,0))"),"")</f>
        <v/>
      </c>
      <c r="F34" s="47" t="str">
        <f>IFERROR(__xludf.DUMMYFUNCTION("IF($B34="""","""",IF(SUMPRODUCT((RASTREABILIDADE!$A$2:$A$2000=""C1"")*(RASTREABILIDADE!$F$2:$F$2000=""Sim"")*REGEXMATCH(RASTREABILIDADE!$E$2:$E$2000,""(^|[^A-Za-z0-9])""&amp;$B34&amp;""($|[^A-Za-z0-9])"")*(((RESUMO!$B$5=""Todas"")+(RASTREABILIDADE!$C$2:$C$2000=RE"&amp;"SUMO!$B$5))&gt;0)*(((RESUMO!$B$6=""Todas"")+(RASTREABILIDADE!$B$2:$B$2000=RESUMO!$B$6))&gt;0))&gt;0,1,0))"),"")</f>
        <v/>
      </c>
      <c r="G34" s="47" t="str">
        <f>IFERROR(__xludf.DUMMYFUNCTION("IF($B34="""","""",IF(SUMPRODUCT((RASTREABILIDADE!$A$2:$A$2000=""C2"")*(RASTREABILIDADE!$F$2:$F$2000=""Sim"")*REGEXMATCH(RASTREABILIDADE!$E$2:$E$2000,""(^|[^A-Za-z0-9])""&amp;$B34&amp;""($|[^A-Za-z0-9])"")*(((RESUMO!$B$5=""Todas"")+(RASTREABILIDADE!$C$2:$C$2000=RE"&amp;"SUMO!$B$5))&gt;0)*(((RESUMO!$B$6=""Todas"")+(RASTREABILIDADE!$B$2:$B$2000=RESUMO!$B$6))&gt;0))&gt;0,1,0))"),"")</f>
        <v/>
      </c>
      <c r="H34" s="47" t="str">
        <f>IF(OR($C34="",$D34&lt;&gt;"Sim"),"",IF(COUNTIFS(RASTREABILIDADE!$A:$A,"C0",RASTREABILIDADE!$G:$G,$C34,RASTREABILIDADE!$H:$H,"Sim",RASTREABILIDADE!$C:$C,IF(RESUMO!$B$5="Todas","&lt;&gt;",RESUMO!$B$5),RASTREABILIDADE!$B:$B,IF(RESUMO!$B$6="Todas","&lt;&gt;",RESUMO!$B$6))&gt;0,1,0))</f>
        <v/>
      </c>
      <c r="I34" s="47" t="str">
        <f>IF(OR($C34="",$D34&lt;&gt;"Sim"),"",IF(COUNTIFS(RASTREABILIDADE!$A:$A,"C1",RASTREABILIDADE!$G:$G,$C34,RASTREABILIDADE!$H:$H,"Sim",RASTREABILIDADE!$C:$C,IF(RESUMO!$B$5="Todas","&lt;&gt;",RESUMO!$B$5),RASTREABILIDADE!$B:$B,IF(RESUMO!$B$6="Todas","&lt;&gt;",RESUMO!$B$6))&gt;0,1,0))</f>
        <v/>
      </c>
      <c r="J34" s="47" t="str">
        <f>IF(OR($C34="",$D34&lt;&gt;"Sim"),"",IF(COUNTIFS(RASTREABILIDADE!$A:$A,"C2",RASTREABILIDADE!$G:$G,$C34,RASTREABILIDADE!$H:$H,"Sim",RASTREABILIDADE!$C:$C,IF(RESUMO!$B$5="Todas","&lt;&gt;",RESUMO!$B$5),RASTREABILIDADE!$B:$B,IF(RESUMO!$B$6="Todas","&lt;&gt;",RESUMO!$B$6))&gt;0,1,0))</f>
        <v/>
      </c>
    </row>
    <row r="35" ht="15.75" customHeight="1">
      <c r="A35" s="47">
        <v>35.0</v>
      </c>
      <c r="B35" s="47" t="str">
        <f>IF(GABARITO!$B36="","",IF(COUNTIF(GABARITO!$B$4:$B36,GABARITO!$B36)=1,GABARITO!$B36,""))</f>
        <v/>
      </c>
      <c r="C35" s="47" t="str">
        <f>IF(GABARITO!$G36="","",GABARITO!$G36)</f>
        <v/>
      </c>
      <c r="D35" s="47" t="str">
        <f>IF(GABARITO!$J36="","",GABARITO!$J36)</f>
        <v/>
      </c>
      <c r="E35" s="47" t="str">
        <f>IFERROR(__xludf.DUMMYFUNCTION("IF($B35="""","""",IF(SUMPRODUCT((RASTREABILIDADE!$A$2:$A$2000=""C0"")*(RASTREABILIDADE!$F$2:$F$2000=""Sim"")*REGEXMATCH(RASTREABILIDADE!$E$2:$E$2000,""(^|[^A-Za-z0-9])""&amp;$B35&amp;""($|[^A-Za-z0-9])"")*(((RESUMO!$B$5=""Todas"")+(RASTREABILIDADE!$C$2:$C$2000=RE"&amp;"SUMO!$B$5))&gt;0)*(((RESUMO!$B$6=""Todas"")+(RASTREABILIDADE!$B$2:$B$2000=RESUMO!$B$6))&gt;0))&gt;0,1,0))"),"")</f>
        <v/>
      </c>
      <c r="F35" s="47" t="str">
        <f>IFERROR(__xludf.DUMMYFUNCTION("IF($B35="""","""",IF(SUMPRODUCT((RASTREABILIDADE!$A$2:$A$2000=""C1"")*(RASTREABILIDADE!$F$2:$F$2000=""Sim"")*REGEXMATCH(RASTREABILIDADE!$E$2:$E$2000,""(^|[^A-Za-z0-9])""&amp;$B35&amp;""($|[^A-Za-z0-9])"")*(((RESUMO!$B$5=""Todas"")+(RASTREABILIDADE!$C$2:$C$2000=RE"&amp;"SUMO!$B$5))&gt;0)*(((RESUMO!$B$6=""Todas"")+(RASTREABILIDADE!$B$2:$B$2000=RESUMO!$B$6))&gt;0))&gt;0,1,0))"),"")</f>
        <v/>
      </c>
      <c r="G35" s="47" t="str">
        <f>IFERROR(__xludf.DUMMYFUNCTION("IF($B35="""","""",IF(SUMPRODUCT((RASTREABILIDADE!$A$2:$A$2000=""C2"")*(RASTREABILIDADE!$F$2:$F$2000=""Sim"")*REGEXMATCH(RASTREABILIDADE!$E$2:$E$2000,""(^|[^A-Za-z0-9])""&amp;$B35&amp;""($|[^A-Za-z0-9])"")*(((RESUMO!$B$5=""Todas"")+(RASTREABILIDADE!$C$2:$C$2000=RE"&amp;"SUMO!$B$5))&gt;0)*(((RESUMO!$B$6=""Todas"")+(RASTREABILIDADE!$B$2:$B$2000=RESUMO!$B$6))&gt;0))&gt;0,1,0))"),"")</f>
        <v/>
      </c>
      <c r="H35" s="47" t="str">
        <f>IF(OR($C35="",$D35&lt;&gt;"Sim"),"",IF(COUNTIFS(RASTREABILIDADE!$A:$A,"C0",RASTREABILIDADE!$G:$G,$C35,RASTREABILIDADE!$H:$H,"Sim",RASTREABILIDADE!$C:$C,IF(RESUMO!$B$5="Todas","&lt;&gt;",RESUMO!$B$5),RASTREABILIDADE!$B:$B,IF(RESUMO!$B$6="Todas","&lt;&gt;",RESUMO!$B$6))&gt;0,1,0))</f>
        <v/>
      </c>
      <c r="I35" s="47" t="str">
        <f>IF(OR($C35="",$D35&lt;&gt;"Sim"),"",IF(COUNTIFS(RASTREABILIDADE!$A:$A,"C1",RASTREABILIDADE!$G:$G,$C35,RASTREABILIDADE!$H:$H,"Sim",RASTREABILIDADE!$C:$C,IF(RESUMO!$B$5="Todas","&lt;&gt;",RESUMO!$B$5),RASTREABILIDADE!$B:$B,IF(RESUMO!$B$6="Todas","&lt;&gt;",RESUMO!$B$6))&gt;0,1,0))</f>
        <v/>
      </c>
      <c r="J35" s="47" t="str">
        <f>IF(OR($C35="",$D35&lt;&gt;"Sim"),"",IF(COUNTIFS(RASTREABILIDADE!$A:$A,"C2",RASTREABILIDADE!$G:$G,$C35,RASTREABILIDADE!$H:$H,"Sim",RASTREABILIDADE!$C:$C,IF(RESUMO!$B$5="Todas","&lt;&gt;",RESUMO!$B$5),RASTREABILIDADE!$B:$B,IF(RESUMO!$B$6="Todas","&lt;&gt;",RESUMO!$B$6))&gt;0,1,0))</f>
        <v/>
      </c>
    </row>
    <row r="36" ht="15.75" customHeight="1">
      <c r="A36" s="47">
        <v>36.0</v>
      </c>
      <c r="B36" s="47" t="str">
        <f>IF(GABARITO!$B37="","",IF(COUNTIF(GABARITO!$B$4:$B37,GABARITO!$B37)=1,GABARITO!$B37,""))</f>
        <v/>
      </c>
      <c r="C36" s="47" t="str">
        <f>IF(GABARITO!$G37="","",GABARITO!$G37)</f>
        <v/>
      </c>
      <c r="D36" s="47" t="str">
        <f>IF(GABARITO!$J37="","",GABARITO!$J37)</f>
        <v/>
      </c>
      <c r="E36" s="47" t="str">
        <f>IFERROR(__xludf.DUMMYFUNCTION("IF($B36="""","""",IF(SUMPRODUCT((RASTREABILIDADE!$A$2:$A$2000=""C0"")*(RASTREABILIDADE!$F$2:$F$2000=""Sim"")*REGEXMATCH(RASTREABILIDADE!$E$2:$E$2000,""(^|[^A-Za-z0-9])""&amp;$B36&amp;""($|[^A-Za-z0-9])"")*(((RESUMO!$B$5=""Todas"")+(RASTREABILIDADE!$C$2:$C$2000=RE"&amp;"SUMO!$B$5))&gt;0)*(((RESUMO!$B$6=""Todas"")+(RASTREABILIDADE!$B$2:$B$2000=RESUMO!$B$6))&gt;0))&gt;0,1,0))"),"")</f>
        <v/>
      </c>
      <c r="F36" s="47" t="str">
        <f>IFERROR(__xludf.DUMMYFUNCTION("IF($B36="""","""",IF(SUMPRODUCT((RASTREABILIDADE!$A$2:$A$2000=""C1"")*(RASTREABILIDADE!$F$2:$F$2000=""Sim"")*REGEXMATCH(RASTREABILIDADE!$E$2:$E$2000,""(^|[^A-Za-z0-9])""&amp;$B36&amp;""($|[^A-Za-z0-9])"")*(((RESUMO!$B$5=""Todas"")+(RASTREABILIDADE!$C$2:$C$2000=RE"&amp;"SUMO!$B$5))&gt;0)*(((RESUMO!$B$6=""Todas"")+(RASTREABILIDADE!$B$2:$B$2000=RESUMO!$B$6))&gt;0))&gt;0,1,0))"),"")</f>
        <v/>
      </c>
      <c r="G36" s="47" t="str">
        <f>IFERROR(__xludf.DUMMYFUNCTION("IF($B36="""","""",IF(SUMPRODUCT((RASTREABILIDADE!$A$2:$A$2000=""C2"")*(RASTREABILIDADE!$F$2:$F$2000=""Sim"")*REGEXMATCH(RASTREABILIDADE!$E$2:$E$2000,""(^|[^A-Za-z0-9])""&amp;$B36&amp;""($|[^A-Za-z0-9])"")*(((RESUMO!$B$5=""Todas"")+(RASTREABILIDADE!$C$2:$C$2000=RE"&amp;"SUMO!$B$5))&gt;0)*(((RESUMO!$B$6=""Todas"")+(RASTREABILIDADE!$B$2:$B$2000=RESUMO!$B$6))&gt;0))&gt;0,1,0))"),"")</f>
        <v/>
      </c>
      <c r="H36" s="47" t="str">
        <f>IF(OR($C36="",$D36&lt;&gt;"Sim"),"",IF(COUNTIFS(RASTREABILIDADE!$A:$A,"C0",RASTREABILIDADE!$G:$G,$C36,RASTREABILIDADE!$H:$H,"Sim",RASTREABILIDADE!$C:$C,IF(RESUMO!$B$5="Todas","&lt;&gt;",RESUMO!$B$5),RASTREABILIDADE!$B:$B,IF(RESUMO!$B$6="Todas","&lt;&gt;",RESUMO!$B$6))&gt;0,1,0))</f>
        <v/>
      </c>
      <c r="I36" s="47" t="str">
        <f>IF(OR($C36="",$D36&lt;&gt;"Sim"),"",IF(COUNTIFS(RASTREABILIDADE!$A:$A,"C1",RASTREABILIDADE!$G:$G,$C36,RASTREABILIDADE!$H:$H,"Sim",RASTREABILIDADE!$C:$C,IF(RESUMO!$B$5="Todas","&lt;&gt;",RESUMO!$B$5),RASTREABILIDADE!$B:$B,IF(RESUMO!$B$6="Todas","&lt;&gt;",RESUMO!$B$6))&gt;0,1,0))</f>
        <v/>
      </c>
      <c r="J36" s="47" t="str">
        <f>IF(OR($C36="",$D36&lt;&gt;"Sim"),"",IF(COUNTIFS(RASTREABILIDADE!$A:$A,"C2",RASTREABILIDADE!$G:$G,$C36,RASTREABILIDADE!$H:$H,"Sim",RASTREABILIDADE!$C:$C,IF(RESUMO!$B$5="Todas","&lt;&gt;",RESUMO!$B$5),RASTREABILIDADE!$B:$B,IF(RESUMO!$B$6="Todas","&lt;&gt;",RESUMO!$B$6))&gt;0,1,0))</f>
        <v/>
      </c>
    </row>
    <row r="37" ht="15.75" customHeight="1">
      <c r="A37" s="47">
        <v>37.0</v>
      </c>
      <c r="B37" s="47" t="str">
        <f>IF(GABARITO!$B38="","",IF(COUNTIF(GABARITO!$B$4:$B38,GABARITO!$B38)=1,GABARITO!$B38,""))</f>
        <v/>
      </c>
      <c r="C37" s="47" t="str">
        <f>IF(GABARITO!$G38="","",GABARITO!$G38)</f>
        <v/>
      </c>
      <c r="D37" s="47" t="str">
        <f>IF(GABARITO!$J38="","",GABARITO!$J38)</f>
        <v/>
      </c>
      <c r="E37" s="47" t="str">
        <f>IFERROR(__xludf.DUMMYFUNCTION("IF($B37="""","""",IF(SUMPRODUCT((RASTREABILIDADE!$A$2:$A$2000=""C0"")*(RASTREABILIDADE!$F$2:$F$2000=""Sim"")*REGEXMATCH(RASTREABILIDADE!$E$2:$E$2000,""(^|[^A-Za-z0-9])""&amp;$B37&amp;""($|[^A-Za-z0-9])"")*(((RESUMO!$B$5=""Todas"")+(RASTREABILIDADE!$C$2:$C$2000=RE"&amp;"SUMO!$B$5))&gt;0)*(((RESUMO!$B$6=""Todas"")+(RASTREABILIDADE!$B$2:$B$2000=RESUMO!$B$6))&gt;0))&gt;0,1,0))"),"")</f>
        <v/>
      </c>
      <c r="F37" s="47" t="str">
        <f>IFERROR(__xludf.DUMMYFUNCTION("IF($B37="""","""",IF(SUMPRODUCT((RASTREABILIDADE!$A$2:$A$2000=""C1"")*(RASTREABILIDADE!$F$2:$F$2000=""Sim"")*REGEXMATCH(RASTREABILIDADE!$E$2:$E$2000,""(^|[^A-Za-z0-9])""&amp;$B37&amp;""($|[^A-Za-z0-9])"")*(((RESUMO!$B$5=""Todas"")+(RASTREABILIDADE!$C$2:$C$2000=RE"&amp;"SUMO!$B$5))&gt;0)*(((RESUMO!$B$6=""Todas"")+(RASTREABILIDADE!$B$2:$B$2000=RESUMO!$B$6))&gt;0))&gt;0,1,0))"),"")</f>
        <v/>
      </c>
      <c r="G37" s="47" t="str">
        <f>IFERROR(__xludf.DUMMYFUNCTION("IF($B37="""","""",IF(SUMPRODUCT((RASTREABILIDADE!$A$2:$A$2000=""C2"")*(RASTREABILIDADE!$F$2:$F$2000=""Sim"")*REGEXMATCH(RASTREABILIDADE!$E$2:$E$2000,""(^|[^A-Za-z0-9])""&amp;$B37&amp;""($|[^A-Za-z0-9])"")*(((RESUMO!$B$5=""Todas"")+(RASTREABILIDADE!$C$2:$C$2000=RE"&amp;"SUMO!$B$5))&gt;0)*(((RESUMO!$B$6=""Todas"")+(RASTREABILIDADE!$B$2:$B$2000=RESUMO!$B$6))&gt;0))&gt;0,1,0))"),"")</f>
        <v/>
      </c>
      <c r="H37" s="47" t="str">
        <f>IF(OR($C37="",$D37&lt;&gt;"Sim"),"",IF(COUNTIFS(RASTREABILIDADE!$A:$A,"C0",RASTREABILIDADE!$G:$G,$C37,RASTREABILIDADE!$H:$H,"Sim",RASTREABILIDADE!$C:$C,IF(RESUMO!$B$5="Todas","&lt;&gt;",RESUMO!$B$5),RASTREABILIDADE!$B:$B,IF(RESUMO!$B$6="Todas","&lt;&gt;",RESUMO!$B$6))&gt;0,1,0))</f>
        <v/>
      </c>
      <c r="I37" s="47" t="str">
        <f>IF(OR($C37="",$D37&lt;&gt;"Sim"),"",IF(COUNTIFS(RASTREABILIDADE!$A:$A,"C1",RASTREABILIDADE!$G:$G,$C37,RASTREABILIDADE!$H:$H,"Sim",RASTREABILIDADE!$C:$C,IF(RESUMO!$B$5="Todas","&lt;&gt;",RESUMO!$B$5),RASTREABILIDADE!$B:$B,IF(RESUMO!$B$6="Todas","&lt;&gt;",RESUMO!$B$6))&gt;0,1,0))</f>
        <v/>
      </c>
      <c r="J37" s="47" t="str">
        <f>IF(OR($C37="",$D37&lt;&gt;"Sim"),"",IF(COUNTIFS(RASTREABILIDADE!$A:$A,"C2",RASTREABILIDADE!$G:$G,$C37,RASTREABILIDADE!$H:$H,"Sim",RASTREABILIDADE!$C:$C,IF(RESUMO!$B$5="Todas","&lt;&gt;",RESUMO!$B$5),RASTREABILIDADE!$B:$B,IF(RESUMO!$B$6="Todas","&lt;&gt;",RESUMO!$B$6))&gt;0,1,0))</f>
        <v/>
      </c>
    </row>
    <row r="38" ht="15.75" customHeight="1">
      <c r="A38" s="47">
        <v>38.0</v>
      </c>
      <c r="B38" s="47" t="str">
        <f>IF(GABARITO!$B39="","",IF(COUNTIF(GABARITO!$B$4:$B39,GABARITO!$B39)=1,GABARITO!$B39,""))</f>
        <v/>
      </c>
      <c r="C38" s="47" t="str">
        <f>IF(GABARITO!$G39="","",GABARITO!$G39)</f>
        <v/>
      </c>
      <c r="D38" s="47" t="str">
        <f>IF(GABARITO!$J39="","",GABARITO!$J39)</f>
        <v/>
      </c>
      <c r="E38" s="47" t="str">
        <f>IFERROR(__xludf.DUMMYFUNCTION("IF($B38="""","""",IF(SUMPRODUCT((RASTREABILIDADE!$A$2:$A$2000=""C0"")*(RASTREABILIDADE!$F$2:$F$2000=""Sim"")*REGEXMATCH(RASTREABILIDADE!$E$2:$E$2000,""(^|[^A-Za-z0-9])""&amp;$B38&amp;""($|[^A-Za-z0-9])"")*(((RESUMO!$B$5=""Todas"")+(RASTREABILIDADE!$C$2:$C$2000=RE"&amp;"SUMO!$B$5))&gt;0)*(((RESUMO!$B$6=""Todas"")+(RASTREABILIDADE!$B$2:$B$2000=RESUMO!$B$6))&gt;0))&gt;0,1,0))"),"")</f>
        <v/>
      </c>
      <c r="F38" s="47" t="str">
        <f>IFERROR(__xludf.DUMMYFUNCTION("IF($B38="""","""",IF(SUMPRODUCT((RASTREABILIDADE!$A$2:$A$2000=""C1"")*(RASTREABILIDADE!$F$2:$F$2000=""Sim"")*REGEXMATCH(RASTREABILIDADE!$E$2:$E$2000,""(^|[^A-Za-z0-9])""&amp;$B38&amp;""($|[^A-Za-z0-9])"")*(((RESUMO!$B$5=""Todas"")+(RASTREABILIDADE!$C$2:$C$2000=RE"&amp;"SUMO!$B$5))&gt;0)*(((RESUMO!$B$6=""Todas"")+(RASTREABILIDADE!$B$2:$B$2000=RESUMO!$B$6))&gt;0))&gt;0,1,0))"),"")</f>
        <v/>
      </c>
      <c r="G38" s="47" t="str">
        <f>IFERROR(__xludf.DUMMYFUNCTION("IF($B38="""","""",IF(SUMPRODUCT((RASTREABILIDADE!$A$2:$A$2000=""C2"")*(RASTREABILIDADE!$F$2:$F$2000=""Sim"")*REGEXMATCH(RASTREABILIDADE!$E$2:$E$2000,""(^|[^A-Za-z0-9])""&amp;$B38&amp;""($|[^A-Za-z0-9])"")*(((RESUMO!$B$5=""Todas"")+(RASTREABILIDADE!$C$2:$C$2000=RE"&amp;"SUMO!$B$5))&gt;0)*(((RESUMO!$B$6=""Todas"")+(RASTREABILIDADE!$B$2:$B$2000=RESUMO!$B$6))&gt;0))&gt;0,1,0))"),"")</f>
        <v/>
      </c>
      <c r="H38" s="47" t="str">
        <f>IF(OR($C38="",$D38&lt;&gt;"Sim"),"",IF(COUNTIFS(RASTREABILIDADE!$A:$A,"C0",RASTREABILIDADE!$G:$G,$C38,RASTREABILIDADE!$H:$H,"Sim",RASTREABILIDADE!$C:$C,IF(RESUMO!$B$5="Todas","&lt;&gt;",RESUMO!$B$5),RASTREABILIDADE!$B:$B,IF(RESUMO!$B$6="Todas","&lt;&gt;",RESUMO!$B$6))&gt;0,1,0))</f>
        <v/>
      </c>
      <c r="I38" s="47" t="str">
        <f>IF(OR($C38="",$D38&lt;&gt;"Sim"),"",IF(COUNTIFS(RASTREABILIDADE!$A:$A,"C1",RASTREABILIDADE!$G:$G,$C38,RASTREABILIDADE!$H:$H,"Sim",RASTREABILIDADE!$C:$C,IF(RESUMO!$B$5="Todas","&lt;&gt;",RESUMO!$B$5),RASTREABILIDADE!$B:$B,IF(RESUMO!$B$6="Todas","&lt;&gt;",RESUMO!$B$6))&gt;0,1,0))</f>
        <v/>
      </c>
      <c r="J38" s="47" t="str">
        <f>IF(OR($C38="",$D38&lt;&gt;"Sim"),"",IF(COUNTIFS(RASTREABILIDADE!$A:$A,"C2",RASTREABILIDADE!$G:$G,$C38,RASTREABILIDADE!$H:$H,"Sim",RASTREABILIDADE!$C:$C,IF(RESUMO!$B$5="Todas","&lt;&gt;",RESUMO!$B$5),RASTREABILIDADE!$B:$B,IF(RESUMO!$B$6="Todas","&lt;&gt;",RESUMO!$B$6))&gt;0,1,0))</f>
        <v/>
      </c>
    </row>
    <row r="39" ht="15.75" customHeight="1">
      <c r="A39" s="47">
        <v>39.0</v>
      </c>
      <c r="B39" s="47" t="str">
        <f>IF(GABARITO!$B40="","",IF(COUNTIF(GABARITO!$B$4:$B40,GABARITO!$B40)=1,GABARITO!$B40,""))</f>
        <v/>
      </c>
      <c r="C39" s="47" t="str">
        <f>IF(GABARITO!$G40="","",GABARITO!$G40)</f>
        <v/>
      </c>
      <c r="D39" s="47" t="str">
        <f>IF(GABARITO!$J40="","",GABARITO!$J40)</f>
        <v/>
      </c>
      <c r="E39" s="47" t="str">
        <f>IFERROR(__xludf.DUMMYFUNCTION("IF($B39="""","""",IF(SUMPRODUCT((RASTREABILIDADE!$A$2:$A$2000=""C0"")*(RASTREABILIDADE!$F$2:$F$2000=""Sim"")*REGEXMATCH(RASTREABILIDADE!$E$2:$E$2000,""(^|[^A-Za-z0-9])""&amp;$B39&amp;""($|[^A-Za-z0-9])"")*(((RESUMO!$B$5=""Todas"")+(RASTREABILIDADE!$C$2:$C$2000=RE"&amp;"SUMO!$B$5))&gt;0)*(((RESUMO!$B$6=""Todas"")+(RASTREABILIDADE!$B$2:$B$2000=RESUMO!$B$6))&gt;0))&gt;0,1,0))"),"")</f>
        <v/>
      </c>
      <c r="F39" s="47" t="str">
        <f>IFERROR(__xludf.DUMMYFUNCTION("IF($B39="""","""",IF(SUMPRODUCT((RASTREABILIDADE!$A$2:$A$2000=""C1"")*(RASTREABILIDADE!$F$2:$F$2000=""Sim"")*REGEXMATCH(RASTREABILIDADE!$E$2:$E$2000,""(^|[^A-Za-z0-9])""&amp;$B39&amp;""($|[^A-Za-z0-9])"")*(((RESUMO!$B$5=""Todas"")+(RASTREABILIDADE!$C$2:$C$2000=RE"&amp;"SUMO!$B$5))&gt;0)*(((RESUMO!$B$6=""Todas"")+(RASTREABILIDADE!$B$2:$B$2000=RESUMO!$B$6))&gt;0))&gt;0,1,0))"),"")</f>
        <v/>
      </c>
      <c r="G39" s="47" t="str">
        <f>IFERROR(__xludf.DUMMYFUNCTION("IF($B39="""","""",IF(SUMPRODUCT((RASTREABILIDADE!$A$2:$A$2000=""C2"")*(RASTREABILIDADE!$F$2:$F$2000=""Sim"")*REGEXMATCH(RASTREABILIDADE!$E$2:$E$2000,""(^|[^A-Za-z0-9])""&amp;$B39&amp;""($|[^A-Za-z0-9])"")*(((RESUMO!$B$5=""Todas"")+(RASTREABILIDADE!$C$2:$C$2000=RE"&amp;"SUMO!$B$5))&gt;0)*(((RESUMO!$B$6=""Todas"")+(RASTREABILIDADE!$B$2:$B$2000=RESUMO!$B$6))&gt;0))&gt;0,1,0))"),"")</f>
        <v/>
      </c>
      <c r="H39" s="47" t="str">
        <f>IF(OR($C39="",$D39&lt;&gt;"Sim"),"",IF(COUNTIFS(RASTREABILIDADE!$A:$A,"C0",RASTREABILIDADE!$G:$G,$C39,RASTREABILIDADE!$H:$H,"Sim",RASTREABILIDADE!$C:$C,IF(RESUMO!$B$5="Todas","&lt;&gt;",RESUMO!$B$5),RASTREABILIDADE!$B:$B,IF(RESUMO!$B$6="Todas","&lt;&gt;",RESUMO!$B$6))&gt;0,1,0))</f>
        <v/>
      </c>
      <c r="I39" s="47" t="str">
        <f>IF(OR($C39="",$D39&lt;&gt;"Sim"),"",IF(COUNTIFS(RASTREABILIDADE!$A:$A,"C1",RASTREABILIDADE!$G:$G,$C39,RASTREABILIDADE!$H:$H,"Sim",RASTREABILIDADE!$C:$C,IF(RESUMO!$B$5="Todas","&lt;&gt;",RESUMO!$B$5),RASTREABILIDADE!$B:$B,IF(RESUMO!$B$6="Todas","&lt;&gt;",RESUMO!$B$6))&gt;0,1,0))</f>
        <v/>
      </c>
      <c r="J39" s="47" t="str">
        <f>IF(OR($C39="",$D39&lt;&gt;"Sim"),"",IF(COUNTIFS(RASTREABILIDADE!$A:$A,"C2",RASTREABILIDADE!$G:$G,$C39,RASTREABILIDADE!$H:$H,"Sim",RASTREABILIDADE!$C:$C,IF(RESUMO!$B$5="Todas","&lt;&gt;",RESUMO!$B$5),RASTREABILIDADE!$B:$B,IF(RESUMO!$B$6="Todas","&lt;&gt;",RESUMO!$B$6))&gt;0,1,0))</f>
        <v/>
      </c>
    </row>
    <row r="40" ht="15.75" customHeight="1">
      <c r="A40" s="47">
        <v>40.0</v>
      </c>
      <c r="B40" s="47" t="str">
        <f>IF(GABARITO!$B41="","",IF(COUNTIF(GABARITO!$B$4:$B41,GABARITO!$B41)=1,GABARITO!$B41,""))</f>
        <v/>
      </c>
      <c r="C40" s="47" t="str">
        <f>IF(GABARITO!$G41="","",GABARITO!$G41)</f>
        <v/>
      </c>
      <c r="D40" s="47" t="str">
        <f>IF(GABARITO!$J41="","",GABARITO!$J41)</f>
        <v/>
      </c>
      <c r="E40" s="47" t="str">
        <f>IFERROR(__xludf.DUMMYFUNCTION("IF($B40="""","""",IF(SUMPRODUCT((RASTREABILIDADE!$A$2:$A$2000=""C0"")*(RASTREABILIDADE!$F$2:$F$2000=""Sim"")*REGEXMATCH(RASTREABILIDADE!$E$2:$E$2000,""(^|[^A-Za-z0-9])""&amp;$B40&amp;""($|[^A-Za-z0-9])"")*(((RESUMO!$B$5=""Todas"")+(RASTREABILIDADE!$C$2:$C$2000=RE"&amp;"SUMO!$B$5))&gt;0)*(((RESUMO!$B$6=""Todas"")+(RASTREABILIDADE!$B$2:$B$2000=RESUMO!$B$6))&gt;0))&gt;0,1,0))"),"")</f>
        <v/>
      </c>
      <c r="F40" s="47" t="str">
        <f>IFERROR(__xludf.DUMMYFUNCTION("IF($B40="""","""",IF(SUMPRODUCT((RASTREABILIDADE!$A$2:$A$2000=""C1"")*(RASTREABILIDADE!$F$2:$F$2000=""Sim"")*REGEXMATCH(RASTREABILIDADE!$E$2:$E$2000,""(^|[^A-Za-z0-9])""&amp;$B40&amp;""($|[^A-Za-z0-9])"")*(((RESUMO!$B$5=""Todas"")+(RASTREABILIDADE!$C$2:$C$2000=RE"&amp;"SUMO!$B$5))&gt;0)*(((RESUMO!$B$6=""Todas"")+(RASTREABILIDADE!$B$2:$B$2000=RESUMO!$B$6))&gt;0))&gt;0,1,0))"),"")</f>
        <v/>
      </c>
      <c r="G40" s="47" t="str">
        <f>IFERROR(__xludf.DUMMYFUNCTION("IF($B40="""","""",IF(SUMPRODUCT((RASTREABILIDADE!$A$2:$A$2000=""C2"")*(RASTREABILIDADE!$F$2:$F$2000=""Sim"")*REGEXMATCH(RASTREABILIDADE!$E$2:$E$2000,""(^|[^A-Za-z0-9])""&amp;$B40&amp;""($|[^A-Za-z0-9])"")*(((RESUMO!$B$5=""Todas"")+(RASTREABILIDADE!$C$2:$C$2000=RE"&amp;"SUMO!$B$5))&gt;0)*(((RESUMO!$B$6=""Todas"")+(RASTREABILIDADE!$B$2:$B$2000=RESUMO!$B$6))&gt;0))&gt;0,1,0))"),"")</f>
        <v/>
      </c>
      <c r="H40" s="47" t="str">
        <f>IF(OR($C40="",$D40&lt;&gt;"Sim"),"",IF(COUNTIFS(RASTREABILIDADE!$A:$A,"C0",RASTREABILIDADE!$G:$G,$C40,RASTREABILIDADE!$H:$H,"Sim",RASTREABILIDADE!$C:$C,IF(RESUMO!$B$5="Todas","&lt;&gt;",RESUMO!$B$5),RASTREABILIDADE!$B:$B,IF(RESUMO!$B$6="Todas","&lt;&gt;",RESUMO!$B$6))&gt;0,1,0))</f>
        <v/>
      </c>
      <c r="I40" s="47" t="str">
        <f>IF(OR($C40="",$D40&lt;&gt;"Sim"),"",IF(COUNTIFS(RASTREABILIDADE!$A:$A,"C1",RASTREABILIDADE!$G:$G,$C40,RASTREABILIDADE!$H:$H,"Sim",RASTREABILIDADE!$C:$C,IF(RESUMO!$B$5="Todas","&lt;&gt;",RESUMO!$B$5),RASTREABILIDADE!$B:$B,IF(RESUMO!$B$6="Todas","&lt;&gt;",RESUMO!$B$6))&gt;0,1,0))</f>
        <v/>
      </c>
      <c r="J40" s="47" t="str">
        <f>IF(OR($C40="",$D40&lt;&gt;"Sim"),"",IF(COUNTIFS(RASTREABILIDADE!$A:$A,"C2",RASTREABILIDADE!$G:$G,$C40,RASTREABILIDADE!$H:$H,"Sim",RASTREABILIDADE!$C:$C,IF(RESUMO!$B$5="Todas","&lt;&gt;",RESUMO!$B$5),RASTREABILIDADE!$B:$B,IF(RESUMO!$B$6="Todas","&lt;&gt;",RESUMO!$B$6))&gt;0,1,0))</f>
        <v/>
      </c>
    </row>
    <row r="41" ht="15.75" customHeight="1">
      <c r="A41" s="47">
        <v>41.0</v>
      </c>
      <c r="B41" s="47" t="str">
        <f>IF(GABARITO!$B42="","",IF(COUNTIF(GABARITO!$B$4:$B42,GABARITO!$B42)=1,GABARITO!$B42,""))</f>
        <v/>
      </c>
      <c r="C41" s="47" t="str">
        <f>IF(GABARITO!$G42="","",GABARITO!$G42)</f>
        <v/>
      </c>
      <c r="D41" s="47" t="str">
        <f>IF(GABARITO!$J42="","",GABARITO!$J42)</f>
        <v/>
      </c>
      <c r="E41" s="47" t="str">
        <f>IFERROR(__xludf.DUMMYFUNCTION("IF($B41="""","""",IF(SUMPRODUCT((RASTREABILIDADE!$A$2:$A$2000=""C0"")*(RASTREABILIDADE!$F$2:$F$2000=""Sim"")*REGEXMATCH(RASTREABILIDADE!$E$2:$E$2000,""(^|[^A-Za-z0-9])""&amp;$B41&amp;""($|[^A-Za-z0-9])"")*(((RESUMO!$B$5=""Todas"")+(RASTREABILIDADE!$C$2:$C$2000=RE"&amp;"SUMO!$B$5))&gt;0)*(((RESUMO!$B$6=""Todas"")+(RASTREABILIDADE!$B$2:$B$2000=RESUMO!$B$6))&gt;0))&gt;0,1,0))"),"")</f>
        <v/>
      </c>
      <c r="F41" s="47" t="str">
        <f>IFERROR(__xludf.DUMMYFUNCTION("IF($B41="""","""",IF(SUMPRODUCT((RASTREABILIDADE!$A$2:$A$2000=""C1"")*(RASTREABILIDADE!$F$2:$F$2000=""Sim"")*REGEXMATCH(RASTREABILIDADE!$E$2:$E$2000,""(^|[^A-Za-z0-9])""&amp;$B41&amp;""($|[^A-Za-z0-9])"")*(((RESUMO!$B$5=""Todas"")+(RASTREABILIDADE!$C$2:$C$2000=RE"&amp;"SUMO!$B$5))&gt;0)*(((RESUMO!$B$6=""Todas"")+(RASTREABILIDADE!$B$2:$B$2000=RESUMO!$B$6))&gt;0))&gt;0,1,0))"),"")</f>
        <v/>
      </c>
      <c r="G41" s="47" t="str">
        <f>IFERROR(__xludf.DUMMYFUNCTION("IF($B41="""","""",IF(SUMPRODUCT((RASTREABILIDADE!$A$2:$A$2000=""C2"")*(RASTREABILIDADE!$F$2:$F$2000=""Sim"")*REGEXMATCH(RASTREABILIDADE!$E$2:$E$2000,""(^|[^A-Za-z0-9])""&amp;$B41&amp;""($|[^A-Za-z0-9])"")*(((RESUMO!$B$5=""Todas"")+(RASTREABILIDADE!$C$2:$C$2000=RE"&amp;"SUMO!$B$5))&gt;0)*(((RESUMO!$B$6=""Todas"")+(RASTREABILIDADE!$B$2:$B$2000=RESUMO!$B$6))&gt;0))&gt;0,1,0))"),"")</f>
        <v/>
      </c>
      <c r="H41" s="47" t="str">
        <f>IF(OR($C41="",$D41&lt;&gt;"Sim"),"",IF(COUNTIFS(RASTREABILIDADE!$A:$A,"C0",RASTREABILIDADE!$G:$G,$C41,RASTREABILIDADE!$H:$H,"Sim",RASTREABILIDADE!$C:$C,IF(RESUMO!$B$5="Todas","&lt;&gt;",RESUMO!$B$5),RASTREABILIDADE!$B:$B,IF(RESUMO!$B$6="Todas","&lt;&gt;",RESUMO!$B$6))&gt;0,1,0))</f>
        <v/>
      </c>
      <c r="I41" s="47" t="str">
        <f>IF(OR($C41="",$D41&lt;&gt;"Sim"),"",IF(COUNTIFS(RASTREABILIDADE!$A:$A,"C1",RASTREABILIDADE!$G:$G,$C41,RASTREABILIDADE!$H:$H,"Sim",RASTREABILIDADE!$C:$C,IF(RESUMO!$B$5="Todas","&lt;&gt;",RESUMO!$B$5),RASTREABILIDADE!$B:$B,IF(RESUMO!$B$6="Todas","&lt;&gt;",RESUMO!$B$6))&gt;0,1,0))</f>
        <v/>
      </c>
      <c r="J41" s="47" t="str">
        <f>IF(OR($C41="",$D41&lt;&gt;"Sim"),"",IF(COUNTIFS(RASTREABILIDADE!$A:$A,"C2",RASTREABILIDADE!$G:$G,$C41,RASTREABILIDADE!$H:$H,"Sim",RASTREABILIDADE!$C:$C,IF(RESUMO!$B$5="Todas","&lt;&gt;",RESUMO!$B$5),RASTREABILIDADE!$B:$B,IF(RESUMO!$B$6="Todas","&lt;&gt;",RESUMO!$B$6))&gt;0,1,0))</f>
        <v/>
      </c>
    </row>
    <row r="42" ht="15.75" customHeight="1">
      <c r="A42" s="47">
        <v>42.0</v>
      </c>
      <c r="B42" s="47" t="str">
        <f>IF(GABARITO!$B43="","",IF(COUNTIF(GABARITO!$B$4:$B43,GABARITO!$B43)=1,GABARITO!$B43,""))</f>
        <v/>
      </c>
      <c r="C42" s="47" t="str">
        <f>IF(GABARITO!$G43="","",GABARITO!$G43)</f>
        <v/>
      </c>
      <c r="D42" s="47" t="str">
        <f>IF(GABARITO!$J43="","",GABARITO!$J43)</f>
        <v/>
      </c>
      <c r="E42" s="47" t="str">
        <f>IFERROR(__xludf.DUMMYFUNCTION("IF($B42="""","""",IF(SUMPRODUCT((RASTREABILIDADE!$A$2:$A$2000=""C0"")*(RASTREABILIDADE!$F$2:$F$2000=""Sim"")*REGEXMATCH(RASTREABILIDADE!$E$2:$E$2000,""(^|[^A-Za-z0-9])""&amp;$B42&amp;""($|[^A-Za-z0-9])"")*(((RESUMO!$B$5=""Todas"")+(RASTREABILIDADE!$C$2:$C$2000=RE"&amp;"SUMO!$B$5))&gt;0)*(((RESUMO!$B$6=""Todas"")+(RASTREABILIDADE!$B$2:$B$2000=RESUMO!$B$6))&gt;0))&gt;0,1,0))"),"")</f>
        <v/>
      </c>
      <c r="F42" s="47" t="str">
        <f>IFERROR(__xludf.DUMMYFUNCTION("IF($B42="""","""",IF(SUMPRODUCT((RASTREABILIDADE!$A$2:$A$2000=""C1"")*(RASTREABILIDADE!$F$2:$F$2000=""Sim"")*REGEXMATCH(RASTREABILIDADE!$E$2:$E$2000,""(^|[^A-Za-z0-9])""&amp;$B42&amp;""($|[^A-Za-z0-9])"")*(((RESUMO!$B$5=""Todas"")+(RASTREABILIDADE!$C$2:$C$2000=RE"&amp;"SUMO!$B$5))&gt;0)*(((RESUMO!$B$6=""Todas"")+(RASTREABILIDADE!$B$2:$B$2000=RESUMO!$B$6))&gt;0))&gt;0,1,0))"),"")</f>
        <v/>
      </c>
      <c r="G42" s="47" t="str">
        <f>IFERROR(__xludf.DUMMYFUNCTION("IF($B42="""","""",IF(SUMPRODUCT((RASTREABILIDADE!$A$2:$A$2000=""C2"")*(RASTREABILIDADE!$F$2:$F$2000=""Sim"")*REGEXMATCH(RASTREABILIDADE!$E$2:$E$2000,""(^|[^A-Za-z0-9])""&amp;$B42&amp;""($|[^A-Za-z0-9])"")*(((RESUMO!$B$5=""Todas"")+(RASTREABILIDADE!$C$2:$C$2000=RE"&amp;"SUMO!$B$5))&gt;0)*(((RESUMO!$B$6=""Todas"")+(RASTREABILIDADE!$B$2:$B$2000=RESUMO!$B$6))&gt;0))&gt;0,1,0))"),"")</f>
        <v/>
      </c>
      <c r="H42" s="47" t="str">
        <f>IF(OR($C42="",$D42&lt;&gt;"Sim"),"",IF(COUNTIFS(RASTREABILIDADE!$A:$A,"C0",RASTREABILIDADE!$G:$G,$C42,RASTREABILIDADE!$H:$H,"Sim",RASTREABILIDADE!$C:$C,IF(RESUMO!$B$5="Todas","&lt;&gt;",RESUMO!$B$5),RASTREABILIDADE!$B:$B,IF(RESUMO!$B$6="Todas","&lt;&gt;",RESUMO!$B$6))&gt;0,1,0))</f>
        <v/>
      </c>
      <c r="I42" s="47" t="str">
        <f>IF(OR($C42="",$D42&lt;&gt;"Sim"),"",IF(COUNTIFS(RASTREABILIDADE!$A:$A,"C1",RASTREABILIDADE!$G:$G,$C42,RASTREABILIDADE!$H:$H,"Sim",RASTREABILIDADE!$C:$C,IF(RESUMO!$B$5="Todas","&lt;&gt;",RESUMO!$B$5),RASTREABILIDADE!$B:$B,IF(RESUMO!$B$6="Todas","&lt;&gt;",RESUMO!$B$6))&gt;0,1,0))</f>
        <v/>
      </c>
      <c r="J42" s="47" t="str">
        <f>IF(OR($C42="",$D42&lt;&gt;"Sim"),"",IF(COUNTIFS(RASTREABILIDADE!$A:$A,"C2",RASTREABILIDADE!$G:$G,$C42,RASTREABILIDADE!$H:$H,"Sim",RASTREABILIDADE!$C:$C,IF(RESUMO!$B$5="Todas","&lt;&gt;",RESUMO!$B$5),RASTREABILIDADE!$B:$B,IF(RESUMO!$B$6="Todas","&lt;&gt;",RESUMO!$B$6))&gt;0,1,0))</f>
        <v/>
      </c>
    </row>
    <row r="43" ht="15.75" customHeight="1">
      <c r="A43" s="47">
        <v>43.0</v>
      </c>
      <c r="B43" s="47" t="str">
        <f>IF(GABARITO!$B44="","",IF(COUNTIF(GABARITO!$B$4:$B44,GABARITO!$B44)=1,GABARITO!$B44,""))</f>
        <v/>
      </c>
      <c r="C43" s="47" t="str">
        <f>IF(GABARITO!$G44="","",GABARITO!$G44)</f>
        <v/>
      </c>
      <c r="D43" s="47" t="str">
        <f>IF(GABARITO!$J44="","",GABARITO!$J44)</f>
        <v/>
      </c>
      <c r="E43" s="47" t="str">
        <f>IFERROR(__xludf.DUMMYFUNCTION("IF($B43="""","""",IF(SUMPRODUCT((RASTREABILIDADE!$A$2:$A$2000=""C0"")*(RASTREABILIDADE!$F$2:$F$2000=""Sim"")*REGEXMATCH(RASTREABILIDADE!$E$2:$E$2000,""(^|[^A-Za-z0-9])""&amp;$B43&amp;""($|[^A-Za-z0-9])"")*(((RESUMO!$B$5=""Todas"")+(RASTREABILIDADE!$C$2:$C$2000=RE"&amp;"SUMO!$B$5))&gt;0)*(((RESUMO!$B$6=""Todas"")+(RASTREABILIDADE!$B$2:$B$2000=RESUMO!$B$6))&gt;0))&gt;0,1,0))"),"")</f>
        <v/>
      </c>
      <c r="F43" s="47" t="str">
        <f>IFERROR(__xludf.DUMMYFUNCTION("IF($B43="""","""",IF(SUMPRODUCT((RASTREABILIDADE!$A$2:$A$2000=""C1"")*(RASTREABILIDADE!$F$2:$F$2000=""Sim"")*REGEXMATCH(RASTREABILIDADE!$E$2:$E$2000,""(^|[^A-Za-z0-9])""&amp;$B43&amp;""($|[^A-Za-z0-9])"")*(((RESUMO!$B$5=""Todas"")+(RASTREABILIDADE!$C$2:$C$2000=RE"&amp;"SUMO!$B$5))&gt;0)*(((RESUMO!$B$6=""Todas"")+(RASTREABILIDADE!$B$2:$B$2000=RESUMO!$B$6))&gt;0))&gt;0,1,0))"),"")</f>
        <v/>
      </c>
      <c r="G43" s="47" t="str">
        <f>IFERROR(__xludf.DUMMYFUNCTION("IF($B43="""","""",IF(SUMPRODUCT((RASTREABILIDADE!$A$2:$A$2000=""C2"")*(RASTREABILIDADE!$F$2:$F$2000=""Sim"")*REGEXMATCH(RASTREABILIDADE!$E$2:$E$2000,""(^|[^A-Za-z0-9])""&amp;$B43&amp;""($|[^A-Za-z0-9])"")*(((RESUMO!$B$5=""Todas"")+(RASTREABILIDADE!$C$2:$C$2000=RE"&amp;"SUMO!$B$5))&gt;0)*(((RESUMO!$B$6=""Todas"")+(RASTREABILIDADE!$B$2:$B$2000=RESUMO!$B$6))&gt;0))&gt;0,1,0))"),"")</f>
        <v/>
      </c>
      <c r="H43" s="47" t="str">
        <f>IF(OR($C43="",$D43&lt;&gt;"Sim"),"",IF(COUNTIFS(RASTREABILIDADE!$A:$A,"C0",RASTREABILIDADE!$G:$G,$C43,RASTREABILIDADE!$H:$H,"Sim",RASTREABILIDADE!$C:$C,IF(RESUMO!$B$5="Todas","&lt;&gt;",RESUMO!$B$5),RASTREABILIDADE!$B:$B,IF(RESUMO!$B$6="Todas","&lt;&gt;",RESUMO!$B$6))&gt;0,1,0))</f>
        <v/>
      </c>
      <c r="I43" s="47" t="str">
        <f>IF(OR($C43="",$D43&lt;&gt;"Sim"),"",IF(COUNTIFS(RASTREABILIDADE!$A:$A,"C1",RASTREABILIDADE!$G:$G,$C43,RASTREABILIDADE!$H:$H,"Sim",RASTREABILIDADE!$C:$C,IF(RESUMO!$B$5="Todas","&lt;&gt;",RESUMO!$B$5),RASTREABILIDADE!$B:$B,IF(RESUMO!$B$6="Todas","&lt;&gt;",RESUMO!$B$6))&gt;0,1,0))</f>
        <v/>
      </c>
      <c r="J43" s="47" t="str">
        <f>IF(OR($C43="",$D43&lt;&gt;"Sim"),"",IF(COUNTIFS(RASTREABILIDADE!$A:$A,"C2",RASTREABILIDADE!$G:$G,$C43,RASTREABILIDADE!$H:$H,"Sim",RASTREABILIDADE!$C:$C,IF(RESUMO!$B$5="Todas","&lt;&gt;",RESUMO!$B$5),RASTREABILIDADE!$B:$B,IF(RESUMO!$B$6="Todas","&lt;&gt;",RESUMO!$B$6))&gt;0,1,0))</f>
        <v/>
      </c>
    </row>
    <row r="44" ht="15.75" customHeight="1">
      <c r="A44" s="47">
        <v>44.0</v>
      </c>
      <c r="B44" s="47" t="str">
        <f>IF(GABARITO!$B45="","",IF(COUNTIF(GABARITO!$B$4:$B45,GABARITO!$B45)=1,GABARITO!$B45,""))</f>
        <v/>
      </c>
      <c r="C44" s="47" t="str">
        <f>IF(GABARITO!$G45="","",GABARITO!$G45)</f>
        <v/>
      </c>
      <c r="D44" s="47" t="str">
        <f>IF(GABARITO!$J45="","",GABARITO!$J45)</f>
        <v/>
      </c>
      <c r="E44" s="47" t="str">
        <f>IFERROR(__xludf.DUMMYFUNCTION("IF($B44="""","""",IF(SUMPRODUCT((RASTREABILIDADE!$A$2:$A$2000=""C0"")*(RASTREABILIDADE!$F$2:$F$2000=""Sim"")*REGEXMATCH(RASTREABILIDADE!$E$2:$E$2000,""(^|[^A-Za-z0-9])""&amp;$B44&amp;""($|[^A-Za-z0-9])"")*(((RESUMO!$B$5=""Todas"")+(RASTREABILIDADE!$C$2:$C$2000=RE"&amp;"SUMO!$B$5))&gt;0)*(((RESUMO!$B$6=""Todas"")+(RASTREABILIDADE!$B$2:$B$2000=RESUMO!$B$6))&gt;0))&gt;0,1,0))"),"")</f>
        <v/>
      </c>
      <c r="F44" s="47" t="str">
        <f>IFERROR(__xludf.DUMMYFUNCTION("IF($B44="""","""",IF(SUMPRODUCT((RASTREABILIDADE!$A$2:$A$2000=""C1"")*(RASTREABILIDADE!$F$2:$F$2000=""Sim"")*REGEXMATCH(RASTREABILIDADE!$E$2:$E$2000,""(^|[^A-Za-z0-9])""&amp;$B44&amp;""($|[^A-Za-z0-9])"")*(((RESUMO!$B$5=""Todas"")+(RASTREABILIDADE!$C$2:$C$2000=RE"&amp;"SUMO!$B$5))&gt;0)*(((RESUMO!$B$6=""Todas"")+(RASTREABILIDADE!$B$2:$B$2000=RESUMO!$B$6))&gt;0))&gt;0,1,0))"),"")</f>
        <v/>
      </c>
      <c r="G44" s="47" t="str">
        <f>IFERROR(__xludf.DUMMYFUNCTION("IF($B44="""","""",IF(SUMPRODUCT((RASTREABILIDADE!$A$2:$A$2000=""C2"")*(RASTREABILIDADE!$F$2:$F$2000=""Sim"")*REGEXMATCH(RASTREABILIDADE!$E$2:$E$2000,""(^|[^A-Za-z0-9])""&amp;$B44&amp;""($|[^A-Za-z0-9])"")*(((RESUMO!$B$5=""Todas"")+(RASTREABILIDADE!$C$2:$C$2000=RE"&amp;"SUMO!$B$5))&gt;0)*(((RESUMO!$B$6=""Todas"")+(RASTREABILIDADE!$B$2:$B$2000=RESUMO!$B$6))&gt;0))&gt;0,1,0))"),"")</f>
        <v/>
      </c>
      <c r="H44" s="47" t="str">
        <f>IF(OR($C44="",$D44&lt;&gt;"Sim"),"",IF(COUNTIFS(RASTREABILIDADE!$A:$A,"C0",RASTREABILIDADE!$G:$G,$C44,RASTREABILIDADE!$H:$H,"Sim",RASTREABILIDADE!$C:$C,IF(RESUMO!$B$5="Todas","&lt;&gt;",RESUMO!$B$5),RASTREABILIDADE!$B:$B,IF(RESUMO!$B$6="Todas","&lt;&gt;",RESUMO!$B$6))&gt;0,1,0))</f>
        <v/>
      </c>
      <c r="I44" s="47" t="str">
        <f>IF(OR($C44="",$D44&lt;&gt;"Sim"),"",IF(COUNTIFS(RASTREABILIDADE!$A:$A,"C1",RASTREABILIDADE!$G:$G,$C44,RASTREABILIDADE!$H:$H,"Sim",RASTREABILIDADE!$C:$C,IF(RESUMO!$B$5="Todas","&lt;&gt;",RESUMO!$B$5),RASTREABILIDADE!$B:$B,IF(RESUMO!$B$6="Todas","&lt;&gt;",RESUMO!$B$6))&gt;0,1,0))</f>
        <v/>
      </c>
      <c r="J44" s="47" t="str">
        <f>IF(OR($C44="",$D44&lt;&gt;"Sim"),"",IF(COUNTIFS(RASTREABILIDADE!$A:$A,"C2",RASTREABILIDADE!$G:$G,$C44,RASTREABILIDADE!$H:$H,"Sim",RASTREABILIDADE!$C:$C,IF(RESUMO!$B$5="Todas","&lt;&gt;",RESUMO!$B$5),RASTREABILIDADE!$B:$B,IF(RESUMO!$B$6="Todas","&lt;&gt;",RESUMO!$B$6))&gt;0,1,0))</f>
        <v/>
      </c>
    </row>
    <row r="45" ht="15.75" customHeight="1">
      <c r="A45" s="47">
        <v>45.0</v>
      </c>
      <c r="B45" s="47" t="str">
        <f>IF(GABARITO!$B46="","",IF(COUNTIF(GABARITO!$B$4:$B46,GABARITO!$B46)=1,GABARITO!$B46,""))</f>
        <v/>
      </c>
      <c r="C45" s="47" t="str">
        <f>IF(GABARITO!$G46="","",GABARITO!$G46)</f>
        <v/>
      </c>
      <c r="D45" s="47" t="str">
        <f>IF(GABARITO!$J46="","",GABARITO!$J46)</f>
        <v/>
      </c>
      <c r="E45" s="47" t="str">
        <f>IFERROR(__xludf.DUMMYFUNCTION("IF($B45="""","""",IF(SUMPRODUCT((RASTREABILIDADE!$A$2:$A$2000=""C0"")*(RASTREABILIDADE!$F$2:$F$2000=""Sim"")*REGEXMATCH(RASTREABILIDADE!$E$2:$E$2000,""(^|[^A-Za-z0-9])""&amp;$B45&amp;""($|[^A-Za-z0-9])"")*(((RESUMO!$B$5=""Todas"")+(RASTREABILIDADE!$C$2:$C$2000=RE"&amp;"SUMO!$B$5))&gt;0)*(((RESUMO!$B$6=""Todas"")+(RASTREABILIDADE!$B$2:$B$2000=RESUMO!$B$6))&gt;0))&gt;0,1,0))"),"")</f>
        <v/>
      </c>
      <c r="F45" s="47" t="str">
        <f>IFERROR(__xludf.DUMMYFUNCTION("IF($B45="""","""",IF(SUMPRODUCT((RASTREABILIDADE!$A$2:$A$2000=""C1"")*(RASTREABILIDADE!$F$2:$F$2000=""Sim"")*REGEXMATCH(RASTREABILIDADE!$E$2:$E$2000,""(^|[^A-Za-z0-9])""&amp;$B45&amp;""($|[^A-Za-z0-9])"")*(((RESUMO!$B$5=""Todas"")+(RASTREABILIDADE!$C$2:$C$2000=RE"&amp;"SUMO!$B$5))&gt;0)*(((RESUMO!$B$6=""Todas"")+(RASTREABILIDADE!$B$2:$B$2000=RESUMO!$B$6))&gt;0))&gt;0,1,0))"),"")</f>
        <v/>
      </c>
      <c r="G45" s="47" t="str">
        <f>IFERROR(__xludf.DUMMYFUNCTION("IF($B45="""","""",IF(SUMPRODUCT((RASTREABILIDADE!$A$2:$A$2000=""C2"")*(RASTREABILIDADE!$F$2:$F$2000=""Sim"")*REGEXMATCH(RASTREABILIDADE!$E$2:$E$2000,""(^|[^A-Za-z0-9])""&amp;$B45&amp;""($|[^A-Za-z0-9])"")*(((RESUMO!$B$5=""Todas"")+(RASTREABILIDADE!$C$2:$C$2000=RE"&amp;"SUMO!$B$5))&gt;0)*(((RESUMO!$B$6=""Todas"")+(RASTREABILIDADE!$B$2:$B$2000=RESUMO!$B$6))&gt;0))&gt;0,1,0))"),"")</f>
        <v/>
      </c>
      <c r="H45" s="47" t="str">
        <f>IF(OR($C45="",$D45&lt;&gt;"Sim"),"",IF(COUNTIFS(RASTREABILIDADE!$A:$A,"C0",RASTREABILIDADE!$G:$G,$C45,RASTREABILIDADE!$H:$H,"Sim",RASTREABILIDADE!$C:$C,IF(RESUMO!$B$5="Todas","&lt;&gt;",RESUMO!$B$5),RASTREABILIDADE!$B:$B,IF(RESUMO!$B$6="Todas","&lt;&gt;",RESUMO!$B$6))&gt;0,1,0))</f>
        <v/>
      </c>
      <c r="I45" s="47" t="str">
        <f>IF(OR($C45="",$D45&lt;&gt;"Sim"),"",IF(COUNTIFS(RASTREABILIDADE!$A:$A,"C1",RASTREABILIDADE!$G:$G,$C45,RASTREABILIDADE!$H:$H,"Sim",RASTREABILIDADE!$C:$C,IF(RESUMO!$B$5="Todas","&lt;&gt;",RESUMO!$B$5),RASTREABILIDADE!$B:$B,IF(RESUMO!$B$6="Todas","&lt;&gt;",RESUMO!$B$6))&gt;0,1,0))</f>
        <v/>
      </c>
      <c r="J45" s="47" t="str">
        <f>IF(OR($C45="",$D45&lt;&gt;"Sim"),"",IF(COUNTIFS(RASTREABILIDADE!$A:$A,"C2",RASTREABILIDADE!$G:$G,$C45,RASTREABILIDADE!$H:$H,"Sim",RASTREABILIDADE!$C:$C,IF(RESUMO!$B$5="Todas","&lt;&gt;",RESUMO!$B$5),RASTREABILIDADE!$B:$B,IF(RESUMO!$B$6="Todas","&lt;&gt;",RESUMO!$B$6))&gt;0,1,0))</f>
        <v/>
      </c>
    </row>
    <row r="46" ht="15.75" customHeight="1">
      <c r="A46" s="47">
        <v>46.0</v>
      </c>
      <c r="B46" s="47" t="str">
        <f>IF(GABARITO!$B47="","",IF(COUNTIF(GABARITO!$B$4:$B47,GABARITO!$B47)=1,GABARITO!$B47,""))</f>
        <v/>
      </c>
      <c r="C46" s="47" t="str">
        <f>IF(GABARITO!$G47="","",GABARITO!$G47)</f>
        <v/>
      </c>
      <c r="D46" s="47" t="str">
        <f>IF(GABARITO!$J47="","",GABARITO!$J47)</f>
        <v/>
      </c>
      <c r="E46" s="47" t="str">
        <f>IFERROR(__xludf.DUMMYFUNCTION("IF($B46="""","""",IF(SUMPRODUCT((RASTREABILIDADE!$A$2:$A$2000=""C0"")*(RASTREABILIDADE!$F$2:$F$2000=""Sim"")*REGEXMATCH(RASTREABILIDADE!$E$2:$E$2000,""(^|[^A-Za-z0-9])""&amp;$B46&amp;""($|[^A-Za-z0-9])"")*(((RESUMO!$B$5=""Todas"")+(RASTREABILIDADE!$C$2:$C$2000=RE"&amp;"SUMO!$B$5))&gt;0)*(((RESUMO!$B$6=""Todas"")+(RASTREABILIDADE!$B$2:$B$2000=RESUMO!$B$6))&gt;0))&gt;0,1,0))"),"")</f>
        <v/>
      </c>
      <c r="F46" s="47" t="str">
        <f>IFERROR(__xludf.DUMMYFUNCTION("IF($B46="""","""",IF(SUMPRODUCT((RASTREABILIDADE!$A$2:$A$2000=""C1"")*(RASTREABILIDADE!$F$2:$F$2000=""Sim"")*REGEXMATCH(RASTREABILIDADE!$E$2:$E$2000,""(^|[^A-Za-z0-9])""&amp;$B46&amp;""($|[^A-Za-z0-9])"")*(((RESUMO!$B$5=""Todas"")+(RASTREABILIDADE!$C$2:$C$2000=RE"&amp;"SUMO!$B$5))&gt;0)*(((RESUMO!$B$6=""Todas"")+(RASTREABILIDADE!$B$2:$B$2000=RESUMO!$B$6))&gt;0))&gt;0,1,0))"),"")</f>
        <v/>
      </c>
      <c r="G46" s="47" t="str">
        <f>IFERROR(__xludf.DUMMYFUNCTION("IF($B46="""","""",IF(SUMPRODUCT((RASTREABILIDADE!$A$2:$A$2000=""C2"")*(RASTREABILIDADE!$F$2:$F$2000=""Sim"")*REGEXMATCH(RASTREABILIDADE!$E$2:$E$2000,""(^|[^A-Za-z0-9])""&amp;$B46&amp;""($|[^A-Za-z0-9])"")*(((RESUMO!$B$5=""Todas"")+(RASTREABILIDADE!$C$2:$C$2000=RE"&amp;"SUMO!$B$5))&gt;0)*(((RESUMO!$B$6=""Todas"")+(RASTREABILIDADE!$B$2:$B$2000=RESUMO!$B$6))&gt;0))&gt;0,1,0))"),"")</f>
        <v/>
      </c>
      <c r="H46" s="47" t="str">
        <f>IF(OR($C46="",$D46&lt;&gt;"Sim"),"",IF(COUNTIFS(RASTREABILIDADE!$A:$A,"C0",RASTREABILIDADE!$G:$G,$C46,RASTREABILIDADE!$H:$H,"Sim",RASTREABILIDADE!$C:$C,IF(RESUMO!$B$5="Todas","&lt;&gt;",RESUMO!$B$5),RASTREABILIDADE!$B:$B,IF(RESUMO!$B$6="Todas","&lt;&gt;",RESUMO!$B$6))&gt;0,1,0))</f>
        <v/>
      </c>
      <c r="I46" s="47" t="str">
        <f>IF(OR($C46="",$D46&lt;&gt;"Sim"),"",IF(COUNTIFS(RASTREABILIDADE!$A:$A,"C1",RASTREABILIDADE!$G:$G,$C46,RASTREABILIDADE!$H:$H,"Sim",RASTREABILIDADE!$C:$C,IF(RESUMO!$B$5="Todas","&lt;&gt;",RESUMO!$B$5),RASTREABILIDADE!$B:$B,IF(RESUMO!$B$6="Todas","&lt;&gt;",RESUMO!$B$6))&gt;0,1,0))</f>
        <v/>
      </c>
      <c r="J46" s="47" t="str">
        <f>IF(OR($C46="",$D46&lt;&gt;"Sim"),"",IF(COUNTIFS(RASTREABILIDADE!$A:$A,"C2",RASTREABILIDADE!$G:$G,$C46,RASTREABILIDADE!$H:$H,"Sim",RASTREABILIDADE!$C:$C,IF(RESUMO!$B$5="Todas","&lt;&gt;",RESUMO!$B$5),RASTREABILIDADE!$B:$B,IF(RESUMO!$B$6="Todas","&lt;&gt;",RESUMO!$B$6))&gt;0,1,0))</f>
        <v/>
      </c>
    </row>
    <row r="47" ht="15.75" customHeight="1">
      <c r="A47" s="47">
        <v>47.0</v>
      </c>
      <c r="B47" s="47" t="str">
        <f>IF(GABARITO!$B48="","",IF(COUNTIF(GABARITO!$B$4:$B48,GABARITO!$B48)=1,GABARITO!$B48,""))</f>
        <v/>
      </c>
      <c r="C47" s="47" t="str">
        <f>IF(GABARITO!$G48="","",GABARITO!$G48)</f>
        <v/>
      </c>
      <c r="D47" s="47" t="str">
        <f>IF(GABARITO!$J48="","",GABARITO!$J48)</f>
        <v/>
      </c>
      <c r="E47" s="47" t="str">
        <f>IFERROR(__xludf.DUMMYFUNCTION("IF($B47="""","""",IF(SUMPRODUCT((RASTREABILIDADE!$A$2:$A$2000=""C0"")*(RASTREABILIDADE!$F$2:$F$2000=""Sim"")*REGEXMATCH(RASTREABILIDADE!$E$2:$E$2000,""(^|[^A-Za-z0-9])""&amp;$B47&amp;""($|[^A-Za-z0-9])"")*(((RESUMO!$B$5=""Todas"")+(RASTREABILIDADE!$C$2:$C$2000=RE"&amp;"SUMO!$B$5))&gt;0)*(((RESUMO!$B$6=""Todas"")+(RASTREABILIDADE!$B$2:$B$2000=RESUMO!$B$6))&gt;0))&gt;0,1,0))"),"")</f>
        <v/>
      </c>
      <c r="F47" s="47" t="str">
        <f>IFERROR(__xludf.DUMMYFUNCTION("IF($B47="""","""",IF(SUMPRODUCT((RASTREABILIDADE!$A$2:$A$2000=""C1"")*(RASTREABILIDADE!$F$2:$F$2000=""Sim"")*REGEXMATCH(RASTREABILIDADE!$E$2:$E$2000,""(^|[^A-Za-z0-9])""&amp;$B47&amp;""($|[^A-Za-z0-9])"")*(((RESUMO!$B$5=""Todas"")+(RASTREABILIDADE!$C$2:$C$2000=RE"&amp;"SUMO!$B$5))&gt;0)*(((RESUMO!$B$6=""Todas"")+(RASTREABILIDADE!$B$2:$B$2000=RESUMO!$B$6))&gt;0))&gt;0,1,0))"),"")</f>
        <v/>
      </c>
      <c r="G47" s="47" t="str">
        <f>IFERROR(__xludf.DUMMYFUNCTION("IF($B47="""","""",IF(SUMPRODUCT((RASTREABILIDADE!$A$2:$A$2000=""C2"")*(RASTREABILIDADE!$F$2:$F$2000=""Sim"")*REGEXMATCH(RASTREABILIDADE!$E$2:$E$2000,""(^|[^A-Za-z0-9])""&amp;$B47&amp;""($|[^A-Za-z0-9])"")*(((RESUMO!$B$5=""Todas"")+(RASTREABILIDADE!$C$2:$C$2000=RE"&amp;"SUMO!$B$5))&gt;0)*(((RESUMO!$B$6=""Todas"")+(RASTREABILIDADE!$B$2:$B$2000=RESUMO!$B$6))&gt;0))&gt;0,1,0))"),"")</f>
        <v/>
      </c>
      <c r="H47" s="47" t="str">
        <f>IF(OR($C47="",$D47&lt;&gt;"Sim"),"",IF(COUNTIFS(RASTREABILIDADE!$A:$A,"C0",RASTREABILIDADE!$G:$G,$C47,RASTREABILIDADE!$H:$H,"Sim",RASTREABILIDADE!$C:$C,IF(RESUMO!$B$5="Todas","&lt;&gt;",RESUMO!$B$5),RASTREABILIDADE!$B:$B,IF(RESUMO!$B$6="Todas","&lt;&gt;",RESUMO!$B$6))&gt;0,1,0))</f>
        <v/>
      </c>
      <c r="I47" s="47" t="str">
        <f>IF(OR($C47="",$D47&lt;&gt;"Sim"),"",IF(COUNTIFS(RASTREABILIDADE!$A:$A,"C1",RASTREABILIDADE!$G:$G,$C47,RASTREABILIDADE!$H:$H,"Sim",RASTREABILIDADE!$C:$C,IF(RESUMO!$B$5="Todas","&lt;&gt;",RESUMO!$B$5),RASTREABILIDADE!$B:$B,IF(RESUMO!$B$6="Todas","&lt;&gt;",RESUMO!$B$6))&gt;0,1,0))</f>
        <v/>
      </c>
      <c r="J47" s="47" t="str">
        <f>IF(OR($C47="",$D47&lt;&gt;"Sim"),"",IF(COUNTIFS(RASTREABILIDADE!$A:$A,"C2",RASTREABILIDADE!$G:$G,$C47,RASTREABILIDADE!$H:$H,"Sim",RASTREABILIDADE!$C:$C,IF(RESUMO!$B$5="Todas","&lt;&gt;",RESUMO!$B$5),RASTREABILIDADE!$B:$B,IF(RESUMO!$B$6="Todas","&lt;&gt;",RESUMO!$B$6))&gt;0,1,0))</f>
        <v/>
      </c>
    </row>
    <row r="48" ht="15.75" customHeight="1">
      <c r="A48" s="47">
        <v>48.0</v>
      </c>
      <c r="B48" s="47" t="str">
        <f>IF(GABARITO!$B49="","",IF(COUNTIF(GABARITO!$B$4:$B49,GABARITO!$B49)=1,GABARITO!$B49,""))</f>
        <v/>
      </c>
      <c r="C48" s="47" t="str">
        <f>IF(GABARITO!$G49="","",GABARITO!$G49)</f>
        <v/>
      </c>
      <c r="D48" s="47" t="str">
        <f>IF(GABARITO!$J49="","",GABARITO!$J49)</f>
        <v/>
      </c>
      <c r="E48" s="47" t="str">
        <f>IFERROR(__xludf.DUMMYFUNCTION("IF($B48="""","""",IF(SUMPRODUCT((RASTREABILIDADE!$A$2:$A$2000=""C0"")*(RASTREABILIDADE!$F$2:$F$2000=""Sim"")*REGEXMATCH(RASTREABILIDADE!$E$2:$E$2000,""(^|[^A-Za-z0-9])""&amp;$B48&amp;""($|[^A-Za-z0-9])"")*(((RESUMO!$B$5=""Todas"")+(RASTREABILIDADE!$C$2:$C$2000=RE"&amp;"SUMO!$B$5))&gt;0)*(((RESUMO!$B$6=""Todas"")+(RASTREABILIDADE!$B$2:$B$2000=RESUMO!$B$6))&gt;0))&gt;0,1,0))"),"")</f>
        <v/>
      </c>
      <c r="F48" s="47" t="str">
        <f>IFERROR(__xludf.DUMMYFUNCTION("IF($B48="""","""",IF(SUMPRODUCT((RASTREABILIDADE!$A$2:$A$2000=""C1"")*(RASTREABILIDADE!$F$2:$F$2000=""Sim"")*REGEXMATCH(RASTREABILIDADE!$E$2:$E$2000,""(^|[^A-Za-z0-9])""&amp;$B48&amp;""($|[^A-Za-z0-9])"")*(((RESUMO!$B$5=""Todas"")+(RASTREABILIDADE!$C$2:$C$2000=RE"&amp;"SUMO!$B$5))&gt;0)*(((RESUMO!$B$6=""Todas"")+(RASTREABILIDADE!$B$2:$B$2000=RESUMO!$B$6))&gt;0))&gt;0,1,0))"),"")</f>
        <v/>
      </c>
      <c r="G48" s="47" t="str">
        <f>IFERROR(__xludf.DUMMYFUNCTION("IF($B48="""","""",IF(SUMPRODUCT((RASTREABILIDADE!$A$2:$A$2000=""C2"")*(RASTREABILIDADE!$F$2:$F$2000=""Sim"")*REGEXMATCH(RASTREABILIDADE!$E$2:$E$2000,""(^|[^A-Za-z0-9])""&amp;$B48&amp;""($|[^A-Za-z0-9])"")*(((RESUMO!$B$5=""Todas"")+(RASTREABILIDADE!$C$2:$C$2000=RE"&amp;"SUMO!$B$5))&gt;0)*(((RESUMO!$B$6=""Todas"")+(RASTREABILIDADE!$B$2:$B$2000=RESUMO!$B$6))&gt;0))&gt;0,1,0))"),"")</f>
        <v/>
      </c>
      <c r="H48" s="47" t="str">
        <f>IF(OR($C48="",$D48&lt;&gt;"Sim"),"",IF(COUNTIFS(RASTREABILIDADE!$A:$A,"C0",RASTREABILIDADE!$G:$G,$C48,RASTREABILIDADE!$H:$H,"Sim",RASTREABILIDADE!$C:$C,IF(RESUMO!$B$5="Todas","&lt;&gt;",RESUMO!$B$5),RASTREABILIDADE!$B:$B,IF(RESUMO!$B$6="Todas","&lt;&gt;",RESUMO!$B$6))&gt;0,1,0))</f>
        <v/>
      </c>
      <c r="I48" s="47" t="str">
        <f>IF(OR($C48="",$D48&lt;&gt;"Sim"),"",IF(COUNTIFS(RASTREABILIDADE!$A:$A,"C1",RASTREABILIDADE!$G:$G,$C48,RASTREABILIDADE!$H:$H,"Sim",RASTREABILIDADE!$C:$C,IF(RESUMO!$B$5="Todas","&lt;&gt;",RESUMO!$B$5),RASTREABILIDADE!$B:$B,IF(RESUMO!$B$6="Todas","&lt;&gt;",RESUMO!$B$6))&gt;0,1,0))</f>
        <v/>
      </c>
      <c r="J48" s="47" t="str">
        <f>IF(OR($C48="",$D48&lt;&gt;"Sim"),"",IF(COUNTIFS(RASTREABILIDADE!$A:$A,"C2",RASTREABILIDADE!$G:$G,$C48,RASTREABILIDADE!$H:$H,"Sim",RASTREABILIDADE!$C:$C,IF(RESUMO!$B$5="Todas","&lt;&gt;",RESUMO!$B$5),RASTREABILIDADE!$B:$B,IF(RESUMO!$B$6="Todas","&lt;&gt;",RESUMO!$B$6))&gt;0,1,0))</f>
        <v/>
      </c>
    </row>
    <row r="49" ht="15.75" customHeight="1">
      <c r="A49" s="47">
        <v>49.0</v>
      </c>
      <c r="B49" s="47" t="str">
        <f>IF(GABARITO!$B50="","",IF(COUNTIF(GABARITO!$B$4:$B50,GABARITO!$B50)=1,GABARITO!$B50,""))</f>
        <v/>
      </c>
      <c r="C49" s="47" t="str">
        <f>IF(GABARITO!$G50="","",GABARITO!$G50)</f>
        <v/>
      </c>
      <c r="D49" s="47" t="str">
        <f>IF(GABARITO!$J50="","",GABARITO!$J50)</f>
        <v/>
      </c>
      <c r="E49" s="47" t="str">
        <f>IFERROR(__xludf.DUMMYFUNCTION("IF($B49="""","""",IF(SUMPRODUCT((RASTREABILIDADE!$A$2:$A$2000=""C0"")*(RASTREABILIDADE!$F$2:$F$2000=""Sim"")*REGEXMATCH(RASTREABILIDADE!$E$2:$E$2000,""(^|[^A-Za-z0-9])""&amp;$B49&amp;""($|[^A-Za-z0-9])"")*(((RESUMO!$B$5=""Todas"")+(RASTREABILIDADE!$C$2:$C$2000=RE"&amp;"SUMO!$B$5))&gt;0)*(((RESUMO!$B$6=""Todas"")+(RASTREABILIDADE!$B$2:$B$2000=RESUMO!$B$6))&gt;0))&gt;0,1,0))"),"")</f>
        <v/>
      </c>
      <c r="F49" s="47" t="str">
        <f>IFERROR(__xludf.DUMMYFUNCTION("IF($B49="""","""",IF(SUMPRODUCT((RASTREABILIDADE!$A$2:$A$2000=""C1"")*(RASTREABILIDADE!$F$2:$F$2000=""Sim"")*REGEXMATCH(RASTREABILIDADE!$E$2:$E$2000,""(^|[^A-Za-z0-9])""&amp;$B49&amp;""($|[^A-Za-z0-9])"")*(((RESUMO!$B$5=""Todas"")+(RASTREABILIDADE!$C$2:$C$2000=RE"&amp;"SUMO!$B$5))&gt;0)*(((RESUMO!$B$6=""Todas"")+(RASTREABILIDADE!$B$2:$B$2000=RESUMO!$B$6))&gt;0))&gt;0,1,0))"),"")</f>
        <v/>
      </c>
      <c r="G49" s="47" t="str">
        <f>IFERROR(__xludf.DUMMYFUNCTION("IF($B49="""","""",IF(SUMPRODUCT((RASTREABILIDADE!$A$2:$A$2000=""C2"")*(RASTREABILIDADE!$F$2:$F$2000=""Sim"")*REGEXMATCH(RASTREABILIDADE!$E$2:$E$2000,""(^|[^A-Za-z0-9])""&amp;$B49&amp;""($|[^A-Za-z0-9])"")*(((RESUMO!$B$5=""Todas"")+(RASTREABILIDADE!$C$2:$C$2000=RE"&amp;"SUMO!$B$5))&gt;0)*(((RESUMO!$B$6=""Todas"")+(RASTREABILIDADE!$B$2:$B$2000=RESUMO!$B$6))&gt;0))&gt;0,1,0))"),"")</f>
        <v/>
      </c>
      <c r="H49" s="47" t="str">
        <f>IF(OR($C49="",$D49&lt;&gt;"Sim"),"",IF(COUNTIFS(RASTREABILIDADE!$A:$A,"C0",RASTREABILIDADE!$G:$G,$C49,RASTREABILIDADE!$H:$H,"Sim",RASTREABILIDADE!$C:$C,IF(RESUMO!$B$5="Todas","&lt;&gt;",RESUMO!$B$5),RASTREABILIDADE!$B:$B,IF(RESUMO!$B$6="Todas","&lt;&gt;",RESUMO!$B$6))&gt;0,1,0))</f>
        <v/>
      </c>
      <c r="I49" s="47" t="str">
        <f>IF(OR($C49="",$D49&lt;&gt;"Sim"),"",IF(COUNTIFS(RASTREABILIDADE!$A:$A,"C1",RASTREABILIDADE!$G:$G,$C49,RASTREABILIDADE!$H:$H,"Sim",RASTREABILIDADE!$C:$C,IF(RESUMO!$B$5="Todas","&lt;&gt;",RESUMO!$B$5),RASTREABILIDADE!$B:$B,IF(RESUMO!$B$6="Todas","&lt;&gt;",RESUMO!$B$6))&gt;0,1,0))</f>
        <v/>
      </c>
      <c r="J49" s="47" t="str">
        <f>IF(OR($C49="",$D49&lt;&gt;"Sim"),"",IF(COUNTIFS(RASTREABILIDADE!$A:$A,"C2",RASTREABILIDADE!$G:$G,$C49,RASTREABILIDADE!$H:$H,"Sim",RASTREABILIDADE!$C:$C,IF(RESUMO!$B$5="Todas","&lt;&gt;",RESUMO!$B$5),RASTREABILIDADE!$B:$B,IF(RESUMO!$B$6="Todas","&lt;&gt;",RESUMO!$B$6))&gt;0,1,0))</f>
        <v/>
      </c>
    </row>
    <row r="50" ht="15.75" customHeight="1">
      <c r="A50" s="47">
        <v>50.0</v>
      </c>
      <c r="B50" s="47" t="str">
        <f>IF(GABARITO!$B51="","",IF(COUNTIF(GABARITO!$B$4:$B51,GABARITO!$B51)=1,GABARITO!$B51,""))</f>
        <v/>
      </c>
      <c r="C50" s="47" t="str">
        <f>IF(GABARITO!$G51="","",GABARITO!$G51)</f>
        <v/>
      </c>
      <c r="D50" s="47" t="str">
        <f>IF(GABARITO!$J51="","",GABARITO!$J51)</f>
        <v/>
      </c>
      <c r="E50" s="47" t="str">
        <f>IFERROR(__xludf.DUMMYFUNCTION("IF($B50="""","""",IF(SUMPRODUCT((RASTREABILIDADE!$A$2:$A$2000=""C0"")*(RASTREABILIDADE!$F$2:$F$2000=""Sim"")*REGEXMATCH(RASTREABILIDADE!$E$2:$E$2000,""(^|[^A-Za-z0-9])""&amp;$B50&amp;""($|[^A-Za-z0-9])"")*(((RESUMO!$B$5=""Todas"")+(RASTREABILIDADE!$C$2:$C$2000=RE"&amp;"SUMO!$B$5))&gt;0)*(((RESUMO!$B$6=""Todas"")+(RASTREABILIDADE!$B$2:$B$2000=RESUMO!$B$6))&gt;0))&gt;0,1,0))"),"")</f>
        <v/>
      </c>
      <c r="F50" s="47" t="str">
        <f>IFERROR(__xludf.DUMMYFUNCTION("IF($B50="""","""",IF(SUMPRODUCT((RASTREABILIDADE!$A$2:$A$2000=""C1"")*(RASTREABILIDADE!$F$2:$F$2000=""Sim"")*REGEXMATCH(RASTREABILIDADE!$E$2:$E$2000,""(^|[^A-Za-z0-9])""&amp;$B50&amp;""($|[^A-Za-z0-9])"")*(((RESUMO!$B$5=""Todas"")+(RASTREABILIDADE!$C$2:$C$2000=RE"&amp;"SUMO!$B$5))&gt;0)*(((RESUMO!$B$6=""Todas"")+(RASTREABILIDADE!$B$2:$B$2000=RESUMO!$B$6))&gt;0))&gt;0,1,0))"),"")</f>
        <v/>
      </c>
      <c r="G50" s="47" t="str">
        <f>IFERROR(__xludf.DUMMYFUNCTION("IF($B50="""","""",IF(SUMPRODUCT((RASTREABILIDADE!$A$2:$A$2000=""C2"")*(RASTREABILIDADE!$F$2:$F$2000=""Sim"")*REGEXMATCH(RASTREABILIDADE!$E$2:$E$2000,""(^|[^A-Za-z0-9])""&amp;$B50&amp;""($|[^A-Za-z0-9])"")*(((RESUMO!$B$5=""Todas"")+(RASTREABILIDADE!$C$2:$C$2000=RE"&amp;"SUMO!$B$5))&gt;0)*(((RESUMO!$B$6=""Todas"")+(RASTREABILIDADE!$B$2:$B$2000=RESUMO!$B$6))&gt;0))&gt;0,1,0))"),"")</f>
        <v/>
      </c>
      <c r="H50" s="47" t="str">
        <f>IF(OR($C50="",$D50&lt;&gt;"Sim"),"",IF(COUNTIFS(RASTREABILIDADE!$A:$A,"C0",RASTREABILIDADE!$G:$G,$C50,RASTREABILIDADE!$H:$H,"Sim",RASTREABILIDADE!$C:$C,IF(RESUMO!$B$5="Todas","&lt;&gt;",RESUMO!$B$5),RASTREABILIDADE!$B:$B,IF(RESUMO!$B$6="Todas","&lt;&gt;",RESUMO!$B$6))&gt;0,1,0))</f>
        <v/>
      </c>
      <c r="I50" s="47" t="str">
        <f>IF(OR($C50="",$D50&lt;&gt;"Sim"),"",IF(COUNTIFS(RASTREABILIDADE!$A:$A,"C1",RASTREABILIDADE!$G:$G,$C50,RASTREABILIDADE!$H:$H,"Sim",RASTREABILIDADE!$C:$C,IF(RESUMO!$B$5="Todas","&lt;&gt;",RESUMO!$B$5),RASTREABILIDADE!$B:$B,IF(RESUMO!$B$6="Todas","&lt;&gt;",RESUMO!$B$6))&gt;0,1,0))</f>
        <v/>
      </c>
      <c r="J50" s="47" t="str">
        <f>IF(OR($C50="",$D50&lt;&gt;"Sim"),"",IF(COUNTIFS(RASTREABILIDADE!$A:$A,"C2",RASTREABILIDADE!$G:$G,$C50,RASTREABILIDADE!$H:$H,"Sim",RASTREABILIDADE!$C:$C,IF(RESUMO!$B$5="Todas","&lt;&gt;",RESUMO!$B$5),RASTREABILIDADE!$B:$B,IF(RESUMO!$B$6="Todas","&lt;&gt;",RESUMO!$B$6))&gt;0,1,0))</f>
        <v/>
      </c>
    </row>
    <row r="51" ht="15.75" customHeight="1">
      <c r="A51" s="47">
        <v>51.0</v>
      </c>
      <c r="B51" s="47" t="str">
        <f>IF(GABARITO!$B52="","",IF(COUNTIF(GABARITO!$B$4:$B52,GABARITO!$B52)=1,GABARITO!$B52,""))</f>
        <v/>
      </c>
      <c r="C51" s="47" t="str">
        <f>IF(GABARITO!$G52="","",GABARITO!$G52)</f>
        <v/>
      </c>
      <c r="D51" s="47" t="str">
        <f>IF(GABARITO!$J52="","",GABARITO!$J52)</f>
        <v/>
      </c>
      <c r="E51" s="47" t="str">
        <f>IFERROR(__xludf.DUMMYFUNCTION("IF($B51="""","""",IF(SUMPRODUCT((RASTREABILIDADE!$A$2:$A$2000=""C0"")*(RASTREABILIDADE!$F$2:$F$2000=""Sim"")*REGEXMATCH(RASTREABILIDADE!$E$2:$E$2000,""(^|[^A-Za-z0-9])""&amp;$B51&amp;""($|[^A-Za-z0-9])"")*(((RESUMO!$B$5=""Todas"")+(RASTREABILIDADE!$C$2:$C$2000=RE"&amp;"SUMO!$B$5))&gt;0)*(((RESUMO!$B$6=""Todas"")+(RASTREABILIDADE!$B$2:$B$2000=RESUMO!$B$6))&gt;0))&gt;0,1,0))"),"")</f>
        <v/>
      </c>
      <c r="F51" s="47" t="str">
        <f>IFERROR(__xludf.DUMMYFUNCTION("IF($B51="""","""",IF(SUMPRODUCT((RASTREABILIDADE!$A$2:$A$2000=""C1"")*(RASTREABILIDADE!$F$2:$F$2000=""Sim"")*REGEXMATCH(RASTREABILIDADE!$E$2:$E$2000,""(^|[^A-Za-z0-9])""&amp;$B51&amp;""($|[^A-Za-z0-9])"")*(((RESUMO!$B$5=""Todas"")+(RASTREABILIDADE!$C$2:$C$2000=RE"&amp;"SUMO!$B$5))&gt;0)*(((RESUMO!$B$6=""Todas"")+(RASTREABILIDADE!$B$2:$B$2000=RESUMO!$B$6))&gt;0))&gt;0,1,0))"),"")</f>
        <v/>
      </c>
      <c r="G51" s="47" t="str">
        <f>IFERROR(__xludf.DUMMYFUNCTION("IF($B51="""","""",IF(SUMPRODUCT((RASTREABILIDADE!$A$2:$A$2000=""C2"")*(RASTREABILIDADE!$F$2:$F$2000=""Sim"")*REGEXMATCH(RASTREABILIDADE!$E$2:$E$2000,""(^|[^A-Za-z0-9])""&amp;$B51&amp;""($|[^A-Za-z0-9])"")*(((RESUMO!$B$5=""Todas"")+(RASTREABILIDADE!$C$2:$C$2000=RE"&amp;"SUMO!$B$5))&gt;0)*(((RESUMO!$B$6=""Todas"")+(RASTREABILIDADE!$B$2:$B$2000=RESUMO!$B$6))&gt;0))&gt;0,1,0))"),"")</f>
        <v/>
      </c>
      <c r="H51" s="47" t="str">
        <f>IF(OR($C51="",$D51&lt;&gt;"Sim"),"",IF(COUNTIFS(RASTREABILIDADE!$A:$A,"C0",RASTREABILIDADE!$G:$G,$C51,RASTREABILIDADE!$H:$H,"Sim",RASTREABILIDADE!$C:$C,IF(RESUMO!$B$5="Todas","&lt;&gt;",RESUMO!$B$5),RASTREABILIDADE!$B:$B,IF(RESUMO!$B$6="Todas","&lt;&gt;",RESUMO!$B$6))&gt;0,1,0))</f>
        <v/>
      </c>
      <c r="I51" s="47" t="str">
        <f>IF(OR($C51="",$D51&lt;&gt;"Sim"),"",IF(COUNTIFS(RASTREABILIDADE!$A:$A,"C1",RASTREABILIDADE!$G:$G,$C51,RASTREABILIDADE!$H:$H,"Sim",RASTREABILIDADE!$C:$C,IF(RESUMO!$B$5="Todas","&lt;&gt;",RESUMO!$B$5),RASTREABILIDADE!$B:$B,IF(RESUMO!$B$6="Todas","&lt;&gt;",RESUMO!$B$6))&gt;0,1,0))</f>
        <v/>
      </c>
      <c r="J51" s="47" t="str">
        <f>IF(OR($C51="",$D51&lt;&gt;"Sim"),"",IF(COUNTIFS(RASTREABILIDADE!$A:$A,"C2",RASTREABILIDADE!$G:$G,$C51,RASTREABILIDADE!$H:$H,"Sim",RASTREABILIDADE!$C:$C,IF(RESUMO!$B$5="Todas","&lt;&gt;",RESUMO!$B$5),RASTREABILIDADE!$B:$B,IF(RESUMO!$B$6="Todas","&lt;&gt;",RESUMO!$B$6))&gt;0,1,0))</f>
        <v/>
      </c>
    </row>
    <row r="52" ht="15.75" customHeight="1">
      <c r="A52" s="47">
        <v>52.0</v>
      </c>
      <c r="B52" s="47" t="str">
        <f>IF(GABARITO!$B53="","",IF(COUNTIF(GABARITO!$B$4:$B53,GABARITO!$B53)=1,GABARITO!$B53,""))</f>
        <v/>
      </c>
      <c r="C52" s="47" t="str">
        <f>IF(GABARITO!$G53="","",GABARITO!$G53)</f>
        <v/>
      </c>
      <c r="D52" s="47" t="str">
        <f>IF(GABARITO!$J53="","",GABARITO!$J53)</f>
        <v/>
      </c>
      <c r="E52" s="47" t="str">
        <f>IFERROR(__xludf.DUMMYFUNCTION("IF($B52="""","""",IF(SUMPRODUCT((RASTREABILIDADE!$A$2:$A$2000=""C0"")*(RASTREABILIDADE!$F$2:$F$2000=""Sim"")*REGEXMATCH(RASTREABILIDADE!$E$2:$E$2000,""(^|[^A-Za-z0-9])""&amp;$B52&amp;""($|[^A-Za-z0-9])"")*(((RESUMO!$B$5=""Todas"")+(RASTREABILIDADE!$C$2:$C$2000=RE"&amp;"SUMO!$B$5))&gt;0)*(((RESUMO!$B$6=""Todas"")+(RASTREABILIDADE!$B$2:$B$2000=RESUMO!$B$6))&gt;0))&gt;0,1,0))"),"")</f>
        <v/>
      </c>
      <c r="F52" s="47" t="str">
        <f>IFERROR(__xludf.DUMMYFUNCTION("IF($B52="""","""",IF(SUMPRODUCT((RASTREABILIDADE!$A$2:$A$2000=""C1"")*(RASTREABILIDADE!$F$2:$F$2000=""Sim"")*REGEXMATCH(RASTREABILIDADE!$E$2:$E$2000,""(^|[^A-Za-z0-9])""&amp;$B52&amp;""($|[^A-Za-z0-9])"")*(((RESUMO!$B$5=""Todas"")+(RASTREABILIDADE!$C$2:$C$2000=RE"&amp;"SUMO!$B$5))&gt;0)*(((RESUMO!$B$6=""Todas"")+(RASTREABILIDADE!$B$2:$B$2000=RESUMO!$B$6))&gt;0))&gt;0,1,0))"),"")</f>
        <v/>
      </c>
      <c r="G52" s="47" t="str">
        <f>IFERROR(__xludf.DUMMYFUNCTION("IF($B52="""","""",IF(SUMPRODUCT((RASTREABILIDADE!$A$2:$A$2000=""C2"")*(RASTREABILIDADE!$F$2:$F$2000=""Sim"")*REGEXMATCH(RASTREABILIDADE!$E$2:$E$2000,""(^|[^A-Za-z0-9])""&amp;$B52&amp;""($|[^A-Za-z0-9])"")*(((RESUMO!$B$5=""Todas"")+(RASTREABILIDADE!$C$2:$C$2000=RE"&amp;"SUMO!$B$5))&gt;0)*(((RESUMO!$B$6=""Todas"")+(RASTREABILIDADE!$B$2:$B$2000=RESUMO!$B$6))&gt;0))&gt;0,1,0))"),"")</f>
        <v/>
      </c>
      <c r="H52" s="47" t="str">
        <f>IF(OR($C52="",$D52&lt;&gt;"Sim"),"",IF(COUNTIFS(RASTREABILIDADE!$A:$A,"C0",RASTREABILIDADE!$G:$G,$C52,RASTREABILIDADE!$H:$H,"Sim",RASTREABILIDADE!$C:$C,IF(RESUMO!$B$5="Todas","&lt;&gt;",RESUMO!$B$5),RASTREABILIDADE!$B:$B,IF(RESUMO!$B$6="Todas","&lt;&gt;",RESUMO!$B$6))&gt;0,1,0))</f>
        <v/>
      </c>
      <c r="I52" s="47" t="str">
        <f>IF(OR($C52="",$D52&lt;&gt;"Sim"),"",IF(COUNTIFS(RASTREABILIDADE!$A:$A,"C1",RASTREABILIDADE!$G:$G,$C52,RASTREABILIDADE!$H:$H,"Sim",RASTREABILIDADE!$C:$C,IF(RESUMO!$B$5="Todas","&lt;&gt;",RESUMO!$B$5),RASTREABILIDADE!$B:$B,IF(RESUMO!$B$6="Todas","&lt;&gt;",RESUMO!$B$6))&gt;0,1,0))</f>
        <v/>
      </c>
      <c r="J52" s="47" t="str">
        <f>IF(OR($C52="",$D52&lt;&gt;"Sim"),"",IF(COUNTIFS(RASTREABILIDADE!$A:$A,"C2",RASTREABILIDADE!$G:$G,$C52,RASTREABILIDADE!$H:$H,"Sim",RASTREABILIDADE!$C:$C,IF(RESUMO!$B$5="Todas","&lt;&gt;",RESUMO!$B$5),RASTREABILIDADE!$B:$B,IF(RESUMO!$B$6="Todas","&lt;&gt;",RESUMO!$B$6))&gt;0,1,0))</f>
        <v/>
      </c>
    </row>
    <row r="53" ht="15.75" customHeight="1">
      <c r="A53" s="47">
        <v>53.0</v>
      </c>
      <c r="B53" s="47" t="str">
        <f>IF(GABARITO!$B54="","",IF(COUNTIF(GABARITO!$B$4:$B54,GABARITO!$B54)=1,GABARITO!$B54,""))</f>
        <v/>
      </c>
      <c r="C53" s="47" t="str">
        <f>IF(GABARITO!$G54="","",GABARITO!$G54)</f>
        <v/>
      </c>
      <c r="D53" s="47" t="str">
        <f>IF(GABARITO!$J54="","",GABARITO!$J54)</f>
        <v/>
      </c>
      <c r="E53" s="47" t="str">
        <f>IFERROR(__xludf.DUMMYFUNCTION("IF($B53="""","""",IF(SUMPRODUCT((RASTREABILIDADE!$A$2:$A$2000=""C0"")*(RASTREABILIDADE!$F$2:$F$2000=""Sim"")*REGEXMATCH(RASTREABILIDADE!$E$2:$E$2000,""(^|[^A-Za-z0-9])""&amp;$B53&amp;""($|[^A-Za-z0-9])"")*(((RESUMO!$B$5=""Todas"")+(RASTREABILIDADE!$C$2:$C$2000=RE"&amp;"SUMO!$B$5))&gt;0)*(((RESUMO!$B$6=""Todas"")+(RASTREABILIDADE!$B$2:$B$2000=RESUMO!$B$6))&gt;0))&gt;0,1,0))"),"")</f>
        <v/>
      </c>
      <c r="F53" s="47" t="str">
        <f>IFERROR(__xludf.DUMMYFUNCTION("IF($B53="""","""",IF(SUMPRODUCT((RASTREABILIDADE!$A$2:$A$2000=""C1"")*(RASTREABILIDADE!$F$2:$F$2000=""Sim"")*REGEXMATCH(RASTREABILIDADE!$E$2:$E$2000,""(^|[^A-Za-z0-9])""&amp;$B53&amp;""($|[^A-Za-z0-9])"")*(((RESUMO!$B$5=""Todas"")+(RASTREABILIDADE!$C$2:$C$2000=RE"&amp;"SUMO!$B$5))&gt;0)*(((RESUMO!$B$6=""Todas"")+(RASTREABILIDADE!$B$2:$B$2000=RESUMO!$B$6))&gt;0))&gt;0,1,0))"),"")</f>
        <v/>
      </c>
      <c r="G53" s="47" t="str">
        <f>IFERROR(__xludf.DUMMYFUNCTION("IF($B53="""","""",IF(SUMPRODUCT((RASTREABILIDADE!$A$2:$A$2000=""C2"")*(RASTREABILIDADE!$F$2:$F$2000=""Sim"")*REGEXMATCH(RASTREABILIDADE!$E$2:$E$2000,""(^|[^A-Za-z0-9])""&amp;$B53&amp;""($|[^A-Za-z0-9])"")*(((RESUMO!$B$5=""Todas"")+(RASTREABILIDADE!$C$2:$C$2000=RE"&amp;"SUMO!$B$5))&gt;0)*(((RESUMO!$B$6=""Todas"")+(RASTREABILIDADE!$B$2:$B$2000=RESUMO!$B$6))&gt;0))&gt;0,1,0))"),"")</f>
        <v/>
      </c>
      <c r="H53" s="47" t="str">
        <f>IF(OR($C53="",$D53&lt;&gt;"Sim"),"",IF(COUNTIFS(RASTREABILIDADE!$A:$A,"C0",RASTREABILIDADE!$G:$G,$C53,RASTREABILIDADE!$H:$H,"Sim",RASTREABILIDADE!$C:$C,IF(RESUMO!$B$5="Todas","&lt;&gt;",RESUMO!$B$5),RASTREABILIDADE!$B:$B,IF(RESUMO!$B$6="Todas","&lt;&gt;",RESUMO!$B$6))&gt;0,1,0))</f>
        <v/>
      </c>
      <c r="I53" s="47" t="str">
        <f>IF(OR($C53="",$D53&lt;&gt;"Sim"),"",IF(COUNTIFS(RASTREABILIDADE!$A:$A,"C1",RASTREABILIDADE!$G:$G,$C53,RASTREABILIDADE!$H:$H,"Sim",RASTREABILIDADE!$C:$C,IF(RESUMO!$B$5="Todas","&lt;&gt;",RESUMO!$B$5),RASTREABILIDADE!$B:$B,IF(RESUMO!$B$6="Todas","&lt;&gt;",RESUMO!$B$6))&gt;0,1,0))</f>
        <v/>
      </c>
      <c r="J53" s="47" t="str">
        <f>IF(OR($C53="",$D53&lt;&gt;"Sim"),"",IF(COUNTIFS(RASTREABILIDADE!$A:$A,"C2",RASTREABILIDADE!$G:$G,$C53,RASTREABILIDADE!$H:$H,"Sim",RASTREABILIDADE!$C:$C,IF(RESUMO!$B$5="Todas","&lt;&gt;",RESUMO!$B$5),RASTREABILIDADE!$B:$B,IF(RESUMO!$B$6="Todas","&lt;&gt;",RESUMO!$B$6))&gt;0,1,0))</f>
        <v/>
      </c>
    </row>
    <row r="54" ht="15.75" customHeight="1">
      <c r="A54" s="47">
        <v>54.0</v>
      </c>
      <c r="B54" s="47" t="str">
        <f>IF(GABARITO!$B55="","",IF(COUNTIF(GABARITO!$B$4:$B55,GABARITO!$B55)=1,GABARITO!$B55,""))</f>
        <v/>
      </c>
      <c r="C54" s="47" t="str">
        <f>IF(GABARITO!$G55="","",GABARITO!$G55)</f>
        <v/>
      </c>
      <c r="D54" s="47" t="str">
        <f>IF(GABARITO!$J55="","",GABARITO!$J55)</f>
        <v/>
      </c>
      <c r="E54" s="47" t="str">
        <f>IFERROR(__xludf.DUMMYFUNCTION("IF($B54="""","""",IF(SUMPRODUCT((RASTREABILIDADE!$A$2:$A$2000=""C0"")*(RASTREABILIDADE!$F$2:$F$2000=""Sim"")*REGEXMATCH(RASTREABILIDADE!$E$2:$E$2000,""(^|[^A-Za-z0-9])""&amp;$B54&amp;""($|[^A-Za-z0-9])"")*(((RESUMO!$B$5=""Todas"")+(RASTREABILIDADE!$C$2:$C$2000=RE"&amp;"SUMO!$B$5))&gt;0)*(((RESUMO!$B$6=""Todas"")+(RASTREABILIDADE!$B$2:$B$2000=RESUMO!$B$6))&gt;0))&gt;0,1,0))"),"")</f>
        <v/>
      </c>
      <c r="F54" s="47" t="str">
        <f>IFERROR(__xludf.DUMMYFUNCTION("IF($B54="""","""",IF(SUMPRODUCT((RASTREABILIDADE!$A$2:$A$2000=""C1"")*(RASTREABILIDADE!$F$2:$F$2000=""Sim"")*REGEXMATCH(RASTREABILIDADE!$E$2:$E$2000,""(^|[^A-Za-z0-9])""&amp;$B54&amp;""($|[^A-Za-z0-9])"")*(((RESUMO!$B$5=""Todas"")+(RASTREABILIDADE!$C$2:$C$2000=RE"&amp;"SUMO!$B$5))&gt;0)*(((RESUMO!$B$6=""Todas"")+(RASTREABILIDADE!$B$2:$B$2000=RESUMO!$B$6))&gt;0))&gt;0,1,0))"),"")</f>
        <v/>
      </c>
      <c r="G54" s="47" t="str">
        <f>IFERROR(__xludf.DUMMYFUNCTION("IF($B54="""","""",IF(SUMPRODUCT((RASTREABILIDADE!$A$2:$A$2000=""C2"")*(RASTREABILIDADE!$F$2:$F$2000=""Sim"")*REGEXMATCH(RASTREABILIDADE!$E$2:$E$2000,""(^|[^A-Za-z0-9])""&amp;$B54&amp;""($|[^A-Za-z0-9])"")*(((RESUMO!$B$5=""Todas"")+(RASTREABILIDADE!$C$2:$C$2000=RE"&amp;"SUMO!$B$5))&gt;0)*(((RESUMO!$B$6=""Todas"")+(RASTREABILIDADE!$B$2:$B$2000=RESUMO!$B$6))&gt;0))&gt;0,1,0))"),"")</f>
        <v/>
      </c>
      <c r="H54" s="47" t="str">
        <f>IF(OR($C54="",$D54&lt;&gt;"Sim"),"",IF(COUNTIFS(RASTREABILIDADE!$A:$A,"C0",RASTREABILIDADE!$G:$G,$C54,RASTREABILIDADE!$H:$H,"Sim",RASTREABILIDADE!$C:$C,IF(RESUMO!$B$5="Todas","&lt;&gt;",RESUMO!$B$5),RASTREABILIDADE!$B:$B,IF(RESUMO!$B$6="Todas","&lt;&gt;",RESUMO!$B$6))&gt;0,1,0))</f>
        <v/>
      </c>
      <c r="I54" s="47" t="str">
        <f>IF(OR($C54="",$D54&lt;&gt;"Sim"),"",IF(COUNTIFS(RASTREABILIDADE!$A:$A,"C1",RASTREABILIDADE!$G:$G,$C54,RASTREABILIDADE!$H:$H,"Sim",RASTREABILIDADE!$C:$C,IF(RESUMO!$B$5="Todas","&lt;&gt;",RESUMO!$B$5),RASTREABILIDADE!$B:$B,IF(RESUMO!$B$6="Todas","&lt;&gt;",RESUMO!$B$6))&gt;0,1,0))</f>
        <v/>
      </c>
      <c r="J54" s="47" t="str">
        <f>IF(OR($C54="",$D54&lt;&gt;"Sim"),"",IF(COUNTIFS(RASTREABILIDADE!$A:$A,"C2",RASTREABILIDADE!$G:$G,$C54,RASTREABILIDADE!$H:$H,"Sim",RASTREABILIDADE!$C:$C,IF(RESUMO!$B$5="Todas","&lt;&gt;",RESUMO!$B$5),RASTREABILIDADE!$B:$B,IF(RESUMO!$B$6="Todas","&lt;&gt;",RESUMO!$B$6))&gt;0,1,0))</f>
        <v/>
      </c>
    </row>
    <row r="55" ht="15.75" customHeight="1">
      <c r="A55" s="47">
        <v>55.0</v>
      </c>
      <c r="B55" s="47" t="str">
        <f>IF(GABARITO!$B56="","",IF(COUNTIF(GABARITO!$B$4:$B56,GABARITO!$B56)=1,GABARITO!$B56,""))</f>
        <v/>
      </c>
      <c r="C55" s="47" t="str">
        <f>IF(GABARITO!$G56="","",GABARITO!$G56)</f>
        <v/>
      </c>
      <c r="D55" s="47" t="str">
        <f>IF(GABARITO!$J56="","",GABARITO!$J56)</f>
        <v/>
      </c>
      <c r="E55" s="47" t="str">
        <f>IFERROR(__xludf.DUMMYFUNCTION("IF($B55="""","""",IF(SUMPRODUCT((RASTREABILIDADE!$A$2:$A$2000=""C0"")*(RASTREABILIDADE!$F$2:$F$2000=""Sim"")*REGEXMATCH(RASTREABILIDADE!$E$2:$E$2000,""(^|[^A-Za-z0-9])""&amp;$B55&amp;""($|[^A-Za-z0-9])"")*(((RESUMO!$B$5=""Todas"")+(RASTREABILIDADE!$C$2:$C$2000=RE"&amp;"SUMO!$B$5))&gt;0)*(((RESUMO!$B$6=""Todas"")+(RASTREABILIDADE!$B$2:$B$2000=RESUMO!$B$6))&gt;0))&gt;0,1,0))"),"")</f>
        <v/>
      </c>
      <c r="F55" s="47" t="str">
        <f>IFERROR(__xludf.DUMMYFUNCTION("IF($B55="""","""",IF(SUMPRODUCT((RASTREABILIDADE!$A$2:$A$2000=""C1"")*(RASTREABILIDADE!$F$2:$F$2000=""Sim"")*REGEXMATCH(RASTREABILIDADE!$E$2:$E$2000,""(^|[^A-Za-z0-9])""&amp;$B55&amp;""($|[^A-Za-z0-9])"")*(((RESUMO!$B$5=""Todas"")+(RASTREABILIDADE!$C$2:$C$2000=RE"&amp;"SUMO!$B$5))&gt;0)*(((RESUMO!$B$6=""Todas"")+(RASTREABILIDADE!$B$2:$B$2000=RESUMO!$B$6))&gt;0))&gt;0,1,0))"),"")</f>
        <v/>
      </c>
      <c r="G55" s="47" t="str">
        <f>IFERROR(__xludf.DUMMYFUNCTION("IF($B55="""","""",IF(SUMPRODUCT((RASTREABILIDADE!$A$2:$A$2000=""C2"")*(RASTREABILIDADE!$F$2:$F$2000=""Sim"")*REGEXMATCH(RASTREABILIDADE!$E$2:$E$2000,""(^|[^A-Za-z0-9])""&amp;$B55&amp;""($|[^A-Za-z0-9])"")*(((RESUMO!$B$5=""Todas"")+(RASTREABILIDADE!$C$2:$C$2000=RE"&amp;"SUMO!$B$5))&gt;0)*(((RESUMO!$B$6=""Todas"")+(RASTREABILIDADE!$B$2:$B$2000=RESUMO!$B$6))&gt;0))&gt;0,1,0))"),"")</f>
        <v/>
      </c>
      <c r="H55" s="47" t="str">
        <f>IF(OR($C55="",$D55&lt;&gt;"Sim"),"",IF(COUNTIFS(RASTREABILIDADE!$A:$A,"C0",RASTREABILIDADE!$G:$G,$C55,RASTREABILIDADE!$H:$H,"Sim",RASTREABILIDADE!$C:$C,IF(RESUMO!$B$5="Todas","&lt;&gt;",RESUMO!$B$5),RASTREABILIDADE!$B:$B,IF(RESUMO!$B$6="Todas","&lt;&gt;",RESUMO!$B$6))&gt;0,1,0))</f>
        <v/>
      </c>
      <c r="I55" s="47" t="str">
        <f>IF(OR($C55="",$D55&lt;&gt;"Sim"),"",IF(COUNTIFS(RASTREABILIDADE!$A:$A,"C1",RASTREABILIDADE!$G:$G,$C55,RASTREABILIDADE!$H:$H,"Sim",RASTREABILIDADE!$C:$C,IF(RESUMO!$B$5="Todas","&lt;&gt;",RESUMO!$B$5),RASTREABILIDADE!$B:$B,IF(RESUMO!$B$6="Todas","&lt;&gt;",RESUMO!$B$6))&gt;0,1,0))</f>
        <v/>
      </c>
      <c r="J55" s="47" t="str">
        <f>IF(OR($C55="",$D55&lt;&gt;"Sim"),"",IF(COUNTIFS(RASTREABILIDADE!$A:$A,"C2",RASTREABILIDADE!$G:$G,$C55,RASTREABILIDADE!$H:$H,"Sim",RASTREABILIDADE!$C:$C,IF(RESUMO!$B$5="Todas","&lt;&gt;",RESUMO!$B$5),RASTREABILIDADE!$B:$B,IF(RESUMO!$B$6="Todas","&lt;&gt;",RESUMO!$B$6))&gt;0,1,0))</f>
        <v/>
      </c>
    </row>
    <row r="56" ht="15.75" customHeight="1">
      <c r="A56" s="47">
        <v>56.0</v>
      </c>
      <c r="B56" s="47" t="str">
        <f>IF(GABARITO!$B57="","",IF(COUNTIF(GABARITO!$B$4:$B57,GABARITO!$B57)=1,GABARITO!$B57,""))</f>
        <v/>
      </c>
      <c r="C56" s="47" t="str">
        <f>IF(GABARITO!$G57="","",GABARITO!$G57)</f>
        <v/>
      </c>
      <c r="D56" s="47" t="str">
        <f>IF(GABARITO!$J57="","",GABARITO!$J57)</f>
        <v/>
      </c>
      <c r="E56" s="47" t="str">
        <f>IFERROR(__xludf.DUMMYFUNCTION("IF($B56="""","""",IF(SUMPRODUCT((RASTREABILIDADE!$A$2:$A$2000=""C0"")*(RASTREABILIDADE!$F$2:$F$2000=""Sim"")*REGEXMATCH(RASTREABILIDADE!$E$2:$E$2000,""(^|[^A-Za-z0-9])""&amp;$B56&amp;""($|[^A-Za-z0-9])"")*(((RESUMO!$B$5=""Todas"")+(RASTREABILIDADE!$C$2:$C$2000=RE"&amp;"SUMO!$B$5))&gt;0)*(((RESUMO!$B$6=""Todas"")+(RASTREABILIDADE!$B$2:$B$2000=RESUMO!$B$6))&gt;0))&gt;0,1,0))"),"")</f>
        <v/>
      </c>
      <c r="F56" s="47" t="str">
        <f>IFERROR(__xludf.DUMMYFUNCTION("IF($B56="""","""",IF(SUMPRODUCT((RASTREABILIDADE!$A$2:$A$2000=""C1"")*(RASTREABILIDADE!$F$2:$F$2000=""Sim"")*REGEXMATCH(RASTREABILIDADE!$E$2:$E$2000,""(^|[^A-Za-z0-9])""&amp;$B56&amp;""($|[^A-Za-z0-9])"")*(((RESUMO!$B$5=""Todas"")+(RASTREABILIDADE!$C$2:$C$2000=RE"&amp;"SUMO!$B$5))&gt;0)*(((RESUMO!$B$6=""Todas"")+(RASTREABILIDADE!$B$2:$B$2000=RESUMO!$B$6))&gt;0))&gt;0,1,0))"),"")</f>
        <v/>
      </c>
      <c r="G56" s="47" t="str">
        <f>IFERROR(__xludf.DUMMYFUNCTION("IF($B56="""","""",IF(SUMPRODUCT((RASTREABILIDADE!$A$2:$A$2000=""C2"")*(RASTREABILIDADE!$F$2:$F$2000=""Sim"")*REGEXMATCH(RASTREABILIDADE!$E$2:$E$2000,""(^|[^A-Za-z0-9])""&amp;$B56&amp;""($|[^A-Za-z0-9])"")*(((RESUMO!$B$5=""Todas"")+(RASTREABILIDADE!$C$2:$C$2000=RE"&amp;"SUMO!$B$5))&gt;0)*(((RESUMO!$B$6=""Todas"")+(RASTREABILIDADE!$B$2:$B$2000=RESUMO!$B$6))&gt;0))&gt;0,1,0))"),"")</f>
        <v/>
      </c>
      <c r="H56" s="47" t="str">
        <f>IF(OR($C56="",$D56&lt;&gt;"Sim"),"",IF(COUNTIFS(RASTREABILIDADE!$A:$A,"C0",RASTREABILIDADE!$G:$G,$C56,RASTREABILIDADE!$H:$H,"Sim",RASTREABILIDADE!$C:$C,IF(RESUMO!$B$5="Todas","&lt;&gt;",RESUMO!$B$5),RASTREABILIDADE!$B:$B,IF(RESUMO!$B$6="Todas","&lt;&gt;",RESUMO!$B$6))&gt;0,1,0))</f>
        <v/>
      </c>
      <c r="I56" s="47" t="str">
        <f>IF(OR($C56="",$D56&lt;&gt;"Sim"),"",IF(COUNTIFS(RASTREABILIDADE!$A:$A,"C1",RASTREABILIDADE!$G:$G,$C56,RASTREABILIDADE!$H:$H,"Sim",RASTREABILIDADE!$C:$C,IF(RESUMO!$B$5="Todas","&lt;&gt;",RESUMO!$B$5),RASTREABILIDADE!$B:$B,IF(RESUMO!$B$6="Todas","&lt;&gt;",RESUMO!$B$6))&gt;0,1,0))</f>
        <v/>
      </c>
      <c r="J56" s="47" t="str">
        <f>IF(OR($C56="",$D56&lt;&gt;"Sim"),"",IF(COUNTIFS(RASTREABILIDADE!$A:$A,"C2",RASTREABILIDADE!$G:$G,$C56,RASTREABILIDADE!$H:$H,"Sim",RASTREABILIDADE!$C:$C,IF(RESUMO!$B$5="Todas","&lt;&gt;",RESUMO!$B$5),RASTREABILIDADE!$B:$B,IF(RESUMO!$B$6="Todas","&lt;&gt;",RESUMO!$B$6))&gt;0,1,0))</f>
        <v/>
      </c>
    </row>
    <row r="57" ht="15.75" customHeight="1">
      <c r="A57" s="47">
        <v>57.0</v>
      </c>
      <c r="B57" s="47" t="str">
        <f>IF(GABARITO!$B58="","",IF(COUNTIF(GABARITO!$B$4:$B58,GABARITO!$B58)=1,GABARITO!$B58,""))</f>
        <v/>
      </c>
      <c r="C57" s="47" t="str">
        <f>IF(GABARITO!$G58="","",GABARITO!$G58)</f>
        <v/>
      </c>
      <c r="D57" s="47" t="str">
        <f>IF(GABARITO!$J58="","",GABARITO!$J58)</f>
        <v/>
      </c>
      <c r="E57" s="47" t="str">
        <f>IFERROR(__xludf.DUMMYFUNCTION("IF($B57="""","""",IF(SUMPRODUCT((RASTREABILIDADE!$A$2:$A$2000=""C0"")*(RASTREABILIDADE!$F$2:$F$2000=""Sim"")*REGEXMATCH(RASTREABILIDADE!$E$2:$E$2000,""(^|[^A-Za-z0-9])""&amp;$B57&amp;""($|[^A-Za-z0-9])"")*(((RESUMO!$B$5=""Todas"")+(RASTREABILIDADE!$C$2:$C$2000=RE"&amp;"SUMO!$B$5))&gt;0)*(((RESUMO!$B$6=""Todas"")+(RASTREABILIDADE!$B$2:$B$2000=RESUMO!$B$6))&gt;0))&gt;0,1,0))"),"")</f>
        <v/>
      </c>
      <c r="F57" s="47" t="str">
        <f>IFERROR(__xludf.DUMMYFUNCTION("IF($B57="""","""",IF(SUMPRODUCT((RASTREABILIDADE!$A$2:$A$2000=""C1"")*(RASTREABILIDADE!$F$2:$F$2000=""Sim"")*REGEXMATCH(RASTREABILIDADE!$E$2:$E$2000,""(^|[^A-Za-z0-9])""&amp;$B57&amp;""($|[^A-Za-z0-9])"")*(((RESUMO!$B$5=""Todas"")+(RASTREABILIDADE!$C$2:$C$2000=RE"&amp;"SUMO!$B$5))&gt;0)*(((RESUMO!$B$6=""Todas"")+(RASTREABILIDADE!$B$2:$B$2000=RESUMO!$B$6))&gt;0))&gt;0,1,0))"),"")</f>
        <v/>
      </c>
      <c r="G57" s="47" t="str">
        <f>IFERROR(__xludf.DUMMYFUNCTION("IF($B57="""","""",IF(SUMPRODUCT((RASTREABILIDADE!$A$2:$A$2000=""C2"")*(RASTREABILIDADE!$F$2:$F$2000=""Sim"")*REGEXMATCH(RASTREABILIDADE!$E$2:$E$2000,""(^|[^A-Za-z0-9])""&amp;$B57&amp;""($|[^A-Za-z0-9])"")*(((RESUMO!$B$5=""Todas"")+(RASTREABILIDADE!$C$2:$C$2000=RE"&amp;"SUMO!$B$5))&gt;0)*(((RESUMO!$B$6=""Todas"")+(RASTREABILIDADE!$B$2:$B$2000=RESUMO!$B$6))&gt;0))&gt;0,1,0))"),"")</f>
        <v/>
      </c>
      <c r="H57" s="47" t="str">
        <f>IF(OR($C57="",$D57&lt;&gt;"Sim"),"",IF(COUNTIFS(RASTREABILIDADE!$A:$A,"C0",RASTREABILIDADE!$G:$G,$C57,RASTREABILIDADE!$H:$H,"Sim",RASTREABILIDADE!$C:$C,IF(RESUMO!$B$5="Todas","&lt;&gt;",RESUMO!$B$5),RASTREABILIDADE!$B:$B,IF(RESUMO!$B$6="Todas","&lt;&gt;",RESUMO!$B$6))&gt;0,1,0))</f>
        <v/>
      </c>
      <c r="I57" s="47" t="str">
        <f>IF(OR($C57="",$D57&lt;&gt;"Sim"),"",IF(COUNTIFS(RASTREABILIDADE!$A:$A,"C1",RASTREABILIDADE!$G:$G,$C57,RASTREABILIDADE!$H:$H,"Sim",RASTREABILIDADE!$C:$C,IF(RESUMO!$B$5="Todas","&lt;&gt;",RESUMO!$B$5),RASTREABILIDADE!$B:$B,IF(RESUMO!$B$6="Todas","&lt;&gt;",RESUMO!$B$6))&gt;0,1,0))</f>
        <v/>
      </c>
      <c r="J57" s="47" t="str">
        <f>IF(OR($C57="",$D57&lt;&gt;"Sim"),"",IF(COUNTIFS(RASTREABILIDADE!$A:$A,"C2",RASTREABILIDADE!$G:$G,$C57,RASTREABILIDADE!$H:$H,"Sim",RASTREABILIDADE!$C:$C,IF(RESUMO!$B$5="Todas","&lt;&gt;",RESUMO!$B$5),RASTREABILIDADE!$B:$B,IF(RESUMO!$B$6="Todas","&lt;&gt;",RESUMO!$B$6))&gt;0,1,0))</f>
        <v/>
      </c>
    </row>
    <row r="58" ht="15.75" customHeight="1">
      <c r="A58" s="47">
        <v>58.0</v>
      </c>
      <c r="B58" s="47" t="str">
        <f>IF(GABARITO!$B59="","",IF(COUNTIF(GABARITO!$B$4:$B59,GABARITO!$B59)=1,GABARITO!$B59,""))</f>
        <v/>
      </c>
      <c r="C58" s="47" t="str">
        <f>IF(GABARITO!$G59="","",GABARITO!$G59)</f>
        <v/>
      </c>
      <c r="D58" s="47" t="str">
        <f>IF(GABARITO!$J59="","",GABARITO!$J59)</f>
        <v/>
      </c>
      <c r="E58" s="47" t="str">
        <f>IFERROR(__xludf.DUMMYFUNCTION("IF($B58="""","""",IF(SUMPRODUCT((RASTREABILIDADE!$A$2:$A$2000=""C0"")*(RASTREABILIDADE!$F$2:$F$2000=""Sim"")*REGEXMATCH(RASTREABILIDADE!$E$2:$E$2000,""(^|[^A-Za-z0-9])""&amp;$B58&amp;""($|[^A-Za-z0-9])"")*(((RESUMO!$B$5=""Todas"")+(RASTREABILIDADE!$C$2:$C$2000=RE"&amp;"SUMO!$B$5))&gt;0)*(((RESUMO!$B$6=""Todas"")+(RASTREABILIDADE!$B$2:$B$2000=RESUMO!$B$6))&gt;0))&gt;0,1,0))"),"")</f>
        <v/>
      </c>
      <c r="F58" s="47" t="str">
        <f>IFERROR(__xludf.DUMMYFUNCTION("IF($B58="""","""",IF(SUMPRODUCT((RASTREABILIDADE!$A$2:$A$2000=""C1"")*(RASTREABILIDADE!$F$2:$F$2000=""Sim"")*REGEXMATCH(RASTREABILIDADE!$E$2:$E$2000,""(^|[^A-Za-z0-9])""&amp;$B58&amp;""($|[^A-Za-z0-9])"")*(((RESUMO!$B$5=""Todas"")+(RASTREABILIDADE!$C$2:$C$2000=RE"&amp;"SUMO!$B$5))&gt;0)*(((RESUMO!$B$6=""Todas"")+(RASTREABILIDADE!$B$2:$B$2000=RESUMO!$B$6))&gt;0))&gt;0,1,0))"),"")</f>
        <v/>
      </c>
      <c r="G58" s="47" t="str">
        <f>IFERROR(__xludf.DUMMYFUNCTION("IF($B58="""","""",IF(SUMPRODUCT((RASTREABILIDADE!$A$2:$A$2000=""C2"")*(RASTREABILIDADE!$F$2:$F$2000=""Sim"")*REGEXMATCH(RASTREABILIDADE!$E$2:$E$2000,""(^|[^A-Za-z0-9])""&amp;$B58&amp;""($|[^A-Za-z0-9])"")*(((RESUMO!$B$5=""Todas"")+(RASTREABILIDADE!$C$2:$C$2000=RE"&amp;"SUMO!$B$5))&gt;0)*(((RESUMO!$B$6=""Todas"")+(RASTREABILIDADE!$B$2:$B$2000=RESUMO!$B$6))&gt;0))&gt;0,1,0))"),"")</f>
        <v/>
      </c>
      <c r="H58" s="47" t="str">
        <f>IF(OR($C58="",$D58&lt;&gt;"Sim"),"",IF(COUNTIFS(RASTREABILIDADE!$A:$A,"C0",RASTREABILIDADE!$G:$G,$C58,RASTREABILIDADE!$H:$H,"Sim",RASTREABILIDADE!$C:$C,IF(RESUMO!$B$5="Todas","&lt;&gt;",RESUMO!$B$5),RASTREABILIDADE!$B:$B,IF(RESUMO!$B$6="Todas","&lt;&gt;",RESUMO!$B$6))&gt;0,1,0))</f>
        <v/>
      </c>
      <c r="I58" s="47" t="str">
        <f>IF(OR($C58="",$D58&lt;&gt;"Sim"),"",IF(COUNTIFS(RASTREABILIDADE!$A:$A,"C1",RASTREABILIDADE!$G:$G,$C58,RASTREABILIDADE!$H:$H,"Sim",RASTREABILIDADE!$C:$C,IF(RESUMO!$B$5="Todas","&lt;&gt;",RESUMO!$B$5),RASTREABILIDADE!$B:$B,IF(RESUMO!$B$6="Todas","&lt;&gt;",RESUMO!$B$6))&gt;0,1,0))</f>
        <v/>
      </c>
      <c r="J58" s="47" t="str">
        <f>IF(OR($C58="",$D58&lt;&gt;"Sim"),"",IF(COUNTIFS(RASTREABILIDADE!$A:$A,"C2",RASTREABILIDADE!$G:$G,$C58,RASTREABILIDADE!$H:$H,"Sim",RASTREABILIDADE!$C:$C,IF(RESUMO!$B$5="Todas","&lt;&gt;",RESUMO!$B$5),RASTREABILIDADE!$B:$B,IF(RESUMO!$B$6="Todas","&lt;&gt;",RESUMO!$B$6))&gt;0,1,0))</f>
        <v/>
      </c>
    </row>
    <row r="59" ht="15.75" customHeight="1">
      <c r="A59" s="47">
        <v>59.0</v>
      </c>
      <c r="B59" s="47" t="str">
        <f>IF(GABARITO!$B60="","",IF(COUNTIF(GABARITO!$B$4:$B60,GABARITO!$B60)=1,GABARITO!$B60,""))</f>
        <v/>
      </c>
      <c r="C59" s="47" t="str">
        <f>IF(GABARITO!$G60="","",GABARITO!$G60)</f>
        <v/>
      </c>
      <c r="D59" s="47" t="str">
        <f>IF(GABARITO!$J60="","",GABARITO!$J60)</f>
        <v/>
      </c>
      <c r="E59" s="47" t="str">
        <f>IFERROR(__xludf.DUMMYFUNCTION("IF($B59="""","""",IF(SUMPRODUCT((RASTREABILIDADE!$A$2:$A$2000=""C0"")*(RASTREABILIDADE!$F$2:$F$2000=""Sim"")*REGEXMATCH(RASTREABILIDADE!$E$2:$E$2000,""(^|[^A-Za-z0-9])""&amp;$B59&amp;""($|[^A-Za-z0-9])"")*(((RESUMO!$B$5=""Todas"")+(RASTREABILIDADE!$C$2:$C$2000=RE"&amp;"SUMO!$B$5))&gt;0)*(((RESUMO!$B$6=""Todas"")+(RASTREABILIDADE!$B$2:$B$2000=RESUMO!$B$6))&gt;0))&gt;0,1,0))"),"")</f>
        <v/>
      </c>
      <c r="F59" s="47" t="str">
        <f>IFERROR(__xludf.DUMMYFUNCTION("IF($B59="""","""",IF(SUMPRODUCT((RASTREABILIDADE!$A$2:$A$2000=""C1"")*(RASTREABILIDADE!$F$2:$F$2000=""Sim"")*REGEXMATCH(RASTREABILIDADE!$E$2:$E$2000,""(^|[^A-Za-z0-9])""&amp;$B59&amp;""($|[^A-Za-z0-9])"")*(((RESUMO!$B$5=""Todas"")+(RASTREABILIDADE!$C$2:$C$2000=RE"&amp;"SUMO!$B$5))&gt;0)*(((RESUMO!$B$6=""Todas"")+(RASTREABILIDADE!$B$2:$B$2000=RESUMO!$B$6))&gt;0))&gt;0,1,0))"),"")</f>
        <v/>
      </c>
      <c r="G59" s="47" t="str">
        <f>IFERROR(__xludf.DUMMYFUNCTION("IF($B59="""","""",IF(SUMPRODUCT((RASTREABILIDADE!$A$2:$A$2000=""C2"")*(RASTREABILIDADE!$F$2:$F$2000=""Sim"")*REGEXMATCH(RASTREABILIDADE!$E$2:$E$2000,""(^|[^A-Za-z0-9])""&amp;$B59&amp;""($|[^A-Za-z0-9])"")*(((RESUMO!$B$5=""Todas"")+(RASTREABILIDADE!$C$2:$C$2000=RE"&amp;"SUMO!$B$5))&gt;0)*(((RESUMO!$B$6=""Todas"")+(RASTREABILIDADE!$B$2:$B$2000=RESUMO!$B$6))&gt;0))&gt;0,1,0))"),"")</f>
        <v/>
      </c>
      <c r="H59" s="47" t="str">
        <f>IF(OR($C59="",$D59&lt;&gt;"Sim"),"",IF(COUNTIFS(RASTREABILIDADE!$A:$A,"C0",RASTREABILIDADE!$G:$G,$C59,RASTREABILIDADE!$H:$H,"Sim",RASTREABILIDADE!$C:$C,IF(RESUMO!$B$5="Todas","&lt;&gt;",RESUMO!$B$5),RASTREABILIDADE!$B:$B,IF(RESUMO!$B$6="Todas","&lt;&gt;",RESUMO!$B$6))&gt;0,1,0))</f>
        <v/>
      </c>
      <c r="I59" s="47" t="str">
        <f>IF(OR($C59="",$D59&lt;&gt;"Sim"),"",IF(COUNTIFS(RASTREABILIDADE!$A:$A,"C1",RASTREABILIDADE!$G:$G,$C59,RASTREABILIDADE!$H:$H,"Sim",RASTREABILIDADE!$C:$C,IF(RESUMO!$B$5="Todas","&lt;&gt;",RESUMO!$B$5),RASTREABILIDADE!$B:$B,IF(RESUMO!$B$6="Todas","&lt;&gt;",RESUMO!$B$6))&gt;0,1,0))</f>
        <v/>
      </c>
      <c r="J59" s="47" t="str">
        <f>IF(OR($C59="",$D59&lt;&gt;"Sim"),"",IF(COUNTIFS(RASTREABILIDADE!$A:$A,"C2",RASTREABILIDADE!$G:$G,$C59,RASTREABILIDADE!$H:$H,"Sim",RASTREABILIDADE!$C:$C,IF(RESUMO!$B$5="Todas","&lt;&gt;",RESUMO!$B$5),RASTREABILIDADE!$B:$B,IF(RESUMO!$B$6="Todas","&lt;&gt;",RESUMO!$B$6))&gt;0,1,0))</f>
        <v/>
      </c>
    </row>
    <row r="60" ht="15.75" customHeight="1">
      <c r="A60" s="47">
        <v>60.0</v>
      </c>
      <c r="B60" s="47" t="str">
        <f>IF(GABARITO!$B61="","",IF(COUNTIF(GABARITO!$B$4:$B61,GABARITO!$B61)=1,GABARITO!$B61,""))</f>
        <v/>
      </c>
      <c r="C60" s="47" t="str">
        <f>IF(GABARITO!$G61="","",GABARITO!$G61)</f>
        <v/>
      </c>
      <c r="D60" s="47" t="str">
        <f>IF(GABARITO!$J61="","",GABARITO!$J61)</f>
        <v/>
      </c>
      <c r="E60" s="47" t="str">
        <f>IFERROR(__xludf.DUMMYFUNCTION("IF($B60="""","""",IF(SUMPRODUCT((RASTREABILIDADE!$A$2:$A$2000=""C0"")*(RASTREABILIDADE!$F$2:$F$2000=""Sim"")*REGEXMATCH(RASTREABILIDADE!$E$2:$E$2000,""(^|[^A-Za-z0-9])""&amp;$B60&amp;""($|[^A-Za-z0-9])"")*(((RESUMO!$B$5=""Todas"")+(RASTREABILIDADE!$C$2:$C$2000=RE"&amp;"SUMO!$B$5))&gt;0)*(((RESUMO!$B$6=""Todas"")+(RASTREABILIDADE!$B$2:$B$2000=RESUMO!$B$6))&gt;0))&gt;0,1,0))"),"")</f>
        <v/>
      </c>
      <c r="F60" s="47" t="str">
        <f>IFERROR(__xludf.DUMMYFUNCTION("IF($B60="""","""",IF(SUMPRODUCT((RASTREABILIDADE!$A$2:$A$2000=""C1"")*(RASTREABILIDADE!$F$2:$F$2000=""Sim"")*REGEXMATCH(RASTREABILIDADE!$E$2:$E$2000,""(^|[^A-Za-z0-9])""&amp;$B60&amp;""($|[^A-Za-z0-9])"")*(((RESUMO!$B$5=""Todas"")+(RASTREABILIDADE!$C$2:$C$2000=RE"&amp;"SUMO!$B$5))&gt;0)*(((RESUMO!$B$6=""Todas"")+(RASTREABILIDADE!$B$2:$B$2000=RESUMO!$B$6))&gt;0))&gt;0,1,0))"),"")</f>
        <v/>
      </c>
      <c r="G60" s="47" t="str">
        <f>IFERROR(__xludf.DUMMYFUNCTION("IF($B60="""","""",IF(SUMPRODUCT((RASTREABILIDADE!$A$2:$A$2000=""C2"")*(RASTREABILIDADE!$F$2:$F$2000=""Sim"")*REGEXMATCH(RASTREABILIDADE!$E$2:$E$2000,""(^|[^A-Za-z0-9])""&amp;$B60&amp;""($|[^A-Za-z0-9])"")*(((RESUMO!$B$5=""Todas"")+(RASTREABILIDADE!$C$2:$C$2000=RE"&amp;"SUMO!$B$5))&gt;0)*(((RESUMO!$B$6=""Todas"")+(RASTREABILIDADE!$B$2:$B$2000=RESUMO!$B$6))&gt;0))&gt;0,1,0))"),"")</f>
        <v/>
      </c>
      <c r="H60" s="47" t="str">
        <f>IF(OR($C60="",$D60&lt;&gt;"Sim"),"",IF(COUNTIFS(RASTREABILIDADE!$A:$A,"C0",RASTREABILIDADE!$G:$G,$C60,RASTREABILIDADE!$H:$H,"Sim",RASTREABILIDADE!$C:$C,IF(RESUMO!$B$5="Todas","&lt;&gt;",RESUMO!$B$5),RASTREABILIDADE!$B:$B,IF(RESUMO!$B$6="Todas","&lt;&gt;",RESUMO!$B$6))&gt;0,1,0))</f>
        <v/>
      </c>
      <c r="I60" s="47" t="str">
        <f>IF(OR($C60="",$D60&lt;&gt;"Sim"),"",IF(COUNTIFS(RASTREABILIDADE!$A:$A,"C1",RASTREABILIDADE!$G:$G,$C60,RASTREABILIDADE!$H:$H,"Sim",RASTREABILIDADE!$C:$C,IF(RESUMO!$B$5="Todas","&lt;&gt;",RESUMO!$B$5),RASTREABILIDADE!$B:$B,IF(RESUMO!$B$6="Todas","&lt;&gt;",RESUMO!$B$6))&gt;0,1,0))</f>
        <v/>
      </c>
      <c r="J60" s="47" t="str">
        <f>IF(OR($C60="",$D60&lt;&gt;"Sim"),"",IF(COUNTIFS(RASTREABILIDADE!$A:$A,"C2",RASTREABILIDADE!$G:$G,$C60,RASTREABILIDADE!$H:$H,"Sim",RASTREABILIDADE!$C:$C,IF(RESUMO!$B$5="Todas","&lt;&gt;",RESUMO!$B$5),RASTREABILIDADE!$B:$B,IF(RESUMO!$B$6="Todas","&lt;&gt;",RESUMO!$B$6))&gt;0,1,0))</f>
        <v/>
      </c>
    </row>
    <row r="61" ht="15.75" customHeight="1">
      <c r="A61" s="47">
        <v>61.0</v>
      </c>
      <c r="B61" s="47" t="str">
        <f>IF(GABARITO!$B62="","",IF(COUNTIF(GABARITO!$B$4:$B62,GABARITO!$B62)=1,GABARITO!$B62,""))</f>
        <v/>
      </c>
      <c r="C61" s="47" t="str">
        <f>IF(GABARITO!$G62="","",GABARITO!$G62)</f>
        <v/>
      </c>
      <c r="D61" s="47" t="str">
        <f>IF(GABARITO!$J62="","",GABARITO!$J62)</f>
        <v/>
      </c>
      <c r="E61" s="47" t="str">
        <f>IFERROR(__xludf.DUMMYFUNCTION("IF($B61="""","""",IF(SUMPRODUCT((RASTREABILIDADE!$A$2:$A$2000=""C0"")*(RASTREABILIDADE!$F$2:$F$2000=""Sim"")*REGEXMATCH(RASTREABILIDADE!$E$2:$E$2000,""(^|[^A-Za-z0-9])""&amp;$B61&amp;""($|[^A-Za-z0-9])"")*(((RESUMO!$B$5=""Todas"")+(RASTREABILIDADE!$C$2:$C$2000=RE"&amp;"SUMO!$B$5))&gt;0)*(((RESUMO!$B$6=""Todas"")+(RASTREABILIDADE!$B$2:$B$2000=RESUMO!$B$6))&gt;0))&gt;0,1,0))"),"")</f>
        <v/>
      </c>
      <c r="F61" s="47" t="str">
        <f>IFERROR(__xludf.DUMMYFUNCTION("IF($B61="""","""",IF(SUMPRODUCT((RASTREABILIDADE!$A$2:$A$2000=""C1"")*(RASTREABILIDADE!$F$2:$F$2000=""Sim"")*REGEXMATCH(RASTREABILIDADE!$E$2:$E$2000,""(^|[^A-Za-z0-9])""&amp;$B61&amp;""($|[^A-Za-z0-9])"")*(((RESUMO!$B$5=""Todas"")+(RASTREABILIDADE!$C$2:$C$2000=RE"&amp;"SUMO!$B$5))&gt;0)*(((RESUMO!$B$6=""Todas"")+(RASTREABILIDADE!$B$2:$B$2000=RESUMO!$B$6))&gt;0))&gt;0,1,0))"),"")</f>
        <v/>
      </c>
      <c r="G61" s="47" t="str">
        <f>IFERROR(__xludf.DUMMYFUNCTION("IF($B61="""","""",IF(SUMPRODUCT((RASTREABILIDADE!$A$2:$A$2000=""C2"")*(RASTREABILIDADE!$F$2:$F$2000=""Sim"")*REGEXMATCH(RASTREABILIDADE!$E$2:$E$2000,""(^|[^A-Za-z0-9])""&amp;$B61&amp;""($|[^A-Za-z0-9])"")*(((RESUMO!$B$5=""Todas"")+(RASTREABILIDADE!$C$2:$C$2000=RE"&amp;"SUMO!$B$5))&gt;0)*(((RESUMO!$B$6=""Todas"")+(RASTREABILIDADE!$B$2:$B$2000=RESUMO!$B$6))&gt;0))&gt;0,1,0))"),"")</f>
        <v/>
      </c>
      <c r="H61" s="47" t="str">
        <f>IF(OR($C61="",$D61&lt;&gt;"Sim"),"",IF(COUNTIFS(RASTREABILIDADE!$A:$A,"C0",RASTREABILIDADE!$G:$G,$C61,RASTREABILIDADE!$H:$H,"Sim",RASTREABILIDADE!$C:$C,IF(RESUMO!$B$5="Todas","&lt;&gt;",RESUMO!$B$5),RASTREABILIDADE!$B:$B,IF(RESUMO!$B$6="Todas","&lt;&gt;",RESUMO!$B$6))&gt;0,1,0))</f>
        <v/>
      </c>
      <c r="I61" s="47" t="str">
        <f>IF(OR($C61="",$D61&lt;&gt;"Sim"),"",IF(COUNTIFS(RASTREABILIDADE!$A:$A,"C1",RASTREABILIDADE!$G:$G,$C61,RASTREABILIDADE!$H:$H,"Sim",RASTREABILIDADE!$C:$C,IF(RESUMO!$B$5="Todas","&lt;&gt;",RESUMO!$B$5),RASTREABILIDADE!$B:$B,IF(RESUMO!$B$6="Todas","&lt;&gt;",RESUMO!$B$6))&gt;0,1,0))</f>
        <v/>
      </c>
      <c r="J61" s="47" t="str">
        <f>IF(OR($C61="",$D61&lt;&gt;"Sim"),"",IF(COUNTIFS(RASTREABILIDADE!$A:$A,"C2",RASTREABILIDADE!$G:$G,$C61,RASTREABILIDADE!$H:$H,"Sim",RASTREABILIDADE!$C:$C,IF(RESUMO!$B$5="Todas","&lt;&gt;",RESUMO!$B$5),RASTREABILIDADE!$B:$B,IF(RESUMO!$B$6="Todas","&lt;&gt;",RESUMO!$B$6))&gt;0,1,0))</f>
        <v/>
      </c>
    </row>
    <row r="62" ht="15.75" customHeight="1">
      <c r="A62" s="47">
        <v>62.0</v>
      </c>
      <c r="B62" s="47" t="str">
        <f>IF(GABARITO!$B63="","",IF(COUNTIF(GABARITO!$B$4:$B63,GABARITO!$B63)=1,GABARITO!$B63,""))</f>
        <v/>
      </c>
      <c r="C62" s="47" t="str">
        <f>IF(GABARITO!$G63="","",GABARITO!$G63)</f>
        <v/>
      </c>
      <c r="D62" s="47" t="str">
        <f>IF(GABARITO!$J63="","",GABARITO!$J63)</f>
        <v/>
      </c>
      <c r="E62" s="47" t="str">
        <f>IFERROR(__xludf.DUMMYFUNCTION("IF($B62="""","""",IF(SUMPRODUCT((RASTREABILIDADE!$A$2:$A$2000=""C0"")*(RASTREABILIDADE!$F$2:$F$2000=""Sim"")*REGEXMATCH(RASTREABILIDADE!$E$2:$E$2000,""(^|[^A-Za-z0-9])""&amp;$B62&amp;""($|[^A-Za-z0-9])"")*(((RESUMO!$B$5=""Todas"")+(RASTREABILIDADE!$C$2:$C$2000=RE"&amp;"SUMO!$B$5))&gt;0)*(((RESUMO!$B$6=""Todas"")+(RASTREABILIDADE!$B$2:$B$2000=RESUMO!$B$6))&gt;0))&gt;0,1,0))"),"")</f>
        <v/>
      </c>
      <c r="F62" s="47" t="str">
        <f>IFERROR(__xludf.DUMMYFUNCTION("IF($B62="""","""",IF(SUMPRODUCT((RASTREABILIDADE!$A$2:$A$2000=""C1"")*(RASTREABILIDADE!$F$2:$F$2000=""Sim"")*REGEXMATCH(RASTREABILIDADE!$E$2:$E$2000,""(^|[^A-Za-z0-9])""&amp;$B62&amp;""($|[^A-Za-z0-9])"")*(((RESUMO!$B$5=""Todas"")+(RASTREABILIDADE!$C$2:$C$2000=RE"&amp;"SUMO!$B$5))&gt;0)*(((RESUMO!$B$6=""Todas"")+(RASTREABILIDADE!$B$2:$B$2000=RESUMO!$B$6))&gt;0))&gt;0,1,0))"),"")</f>
        <v/>
      </c>
      <c r="G62" s="47" t="str">
        <f>IFERROR(__xludf.DUMMYFUNCTION("IF($B62="""","""",IF(SUMPRODUCT((RASTREABILIDADE!$A$2:$A$2000=""C2"")*(RASTREABILIDADE!$F$2:$F$2000=""Sim"")*REGEXMATCH(RASTREABILIDADE!$E$2:$E$2000,""(^|[^A-Za-z0-9])""&amp;$B62&amp;""($|[^A-Za-z0-9])"")*(((RESUMO!$B$5=""Todas"")+(RASTREABILIDADE!$C$2:$C$2000=RE"&amp;"SUMO!$B$5))&gt;0)*(((RESUMO!$B$6=""Todas"")+(RASTREABILIDADE!$B$2:$B$2000=RESUMO!$B$6))&gt;0))&gt;0,1,0))"),"")</f>
        <v/>
      </c>
      <c r="H62" s="47" t="str">
        <f>IF(OR($C62="",$D62&lt;&gt;"Sim"),"",IF(COUNTIFS(RASTREABILIDADE!$A:$A,"C0",RASTREABILIDADE!$G:$G,$C62,RASTREABILIDADE!$H:$H,"Sim",RASTREABILIDADE!$C:$C,IF(RESUMO!$B$5="Todas","&lt;&gt;",RESUMO!$B$5),RASTREABILIDADE!$B:$B,IF(RESUMO!$B$6="Todas","&lt;&gt;",RESUMO!$B$6))&gt;0,1,0))</f>
        <v/>
      </c>
      <c r="I62" s="47" t="str">
        <f>IF(OR($C62="",$D62&lt;&gt;"Sim"),"",IF(COUNTIFS(RASTREABILIDADE!$A:$A,"C1",RASTREABILIDADE!$G:$G,$C62,RASTREABILIDADE!$H:$H,"Sim",RASTREABILIDADE!$C:$C,IF(RESUMO!$B$5="Todas","&lt;&gt;",RESUMO!$B$5),RASTREABILIDADE!$B:$B,IF(RESUMO!$B$6="Todas","&lt;&gt;",RESUMO!$B$6))&gt;0,1,0))</f>
        <v/>
      </c>
      <c r="J62" s="47" t="str">
        <f>IF(OR($C62="",$D62&lt;&gt;"Sim"),"",IF(COUNTIFS(RASTREABILIDADE!$A:$A,"C2",RASTREABILIDADE!$G:$G,$C62,RASTREABILIDADE!$H:$H,"Sim",RASTREABILIDADE!$C:$C,IF(RESUMO!$B$5="Todas","&lt;&gt;",RESUMO!$B$5),RASTREABILIDADE!$B:$B,IF(RESUMO!$B$6="Todas","&lt;&gt;",RESUMO!$B$6))&gt;0,1,0))</f>
        <v/>
      </c>
    </row>
    <row r="63" ht="15.75" customHeight="1">
      <c r="A63" s="47">
        <v>63.0</v>
      </c>
      <c r="B63" s="47" t="str">
        <f>IF(GABARITO!$B64="","",IF(COUNTIF(GABARITO!$B$4:$B64,GABARITO!$B64)=1,GABARITO!$B64,""))</f>
        <v/>
      </c>
      <c r="C63" s="47" t="str">
        <f>IF(GABARITO!$G64="","",GABARITO!$G64)</f>
        <v/>
      </c>
      <c r="D63" s="47" t="str">
        <f>IF(GABARITO!$J64="","",GABARITO!$J64)</f>
        <v/>
      </c>
      <c r="E63" s="47" t="str">
        <f>IFERROR(__xludf.DUMMYFUNCTION("IF($B63="""","""",IF(SUMPRODUCT((RASTREABILIDADE!$A$2:$A$2000=""C0"")*(RASTREABILIDADE!$F$2:$F$2000=""Sim"")*REGEXMATCH(RASTREABILIDADE!$E$2:$E$2000,""(^|[^A-Za-z0-9])""&amp;$B63&amp;""($|[^A-Za-z0-9])"")*(((RESUMO!$B$5=""Todas"")+(RASTREABILIDADE!$C$2:$C$2000=RE"&amp;"SUMO!$B$5))&gt;0)*(((RESUMO!$B$6=""Todas"")+(RASTREABILIDADE!$B$2:$B$2000=RESUMO!$B$6))&gt;0))&gt;0,1,0))"),"")</f>
        <v/>
      </c>
      <c r="F63" s="47" t="str">
        <f>IFERROR(__xludf.DUMMYFUNCTION("IF($B63="""","""",IF(SUMPRODUCT((RASTREABILIDADE!$A$2:$A$2000=""C1"")*(RASTREABILIDADE!$F$2:$F$2000=""Sim"")*REGEXMATCH(RASTREABILIDADE!$E$2:$E$2000,""(^|[^A-Za-z0-9])""&amp;$B63&amp;""($|[^A-Za-z0-9])"")*(((RESUMO!$B$5=""Todas"")+(RASTREABILIDADE!$C$2:$C$2000=RE"&amp;"SUMO!$B$5))&gt;0)*(((RESUMO!$B$6=""Todas"")+(RASTREABILIDADE!$B$2:$B$2000=RESUMO!$B$6))&gt;0))&gt;0,1,0))"),"")</f>
        <v/>
      </c>
      <c r="G63" s="47" t="str">
        <f>IFERROR(__xludf.DUMMYFUNCTION("IF($B63="""","""",IF(SUMPRODUCT((RASTREABILIDADE!$A$2:$A$2000=""C2"")*(RASTREABILIDADE!$F$2:$F$2000=""Sim"")*REGEXMATCH(RASTREABILIDADE!$E$2:$E$2000,""(^|[^A-Za-z0-9])""&amp;$B63&amp;""($|[^A-Za-z0-9])"")*(((RESUMO!$B$5=""Todas"")+(RASTREABILIDADE!$C$2:$C$2000=RE"&amp;"SUMO!$B$5))&gt;0)*(((RESUMO!$B$6=""Todas"")+(RASTREABILIDADE!$B$2:$B$2000=RESUMO!$B$6))&gt;0))&gt;0,1,0))"),"")</f>
        <v/>
      </c>
      <c r="H63" s="47" t="str">
        <f>IF(OR($C63="",$D63&lt;&gt;"Sim"),"",IF(COUNTIFS(RASTREABILIDADE!$A:$A,"C0",RASTREABILIDADE!$G:$G,$C63,RASTREABILIDADE!$H:$H,"Sim",RASTREABILIDADE!$C:$C,IF(RESUMO!$B$5="Todas","&lt;&gt;",RESUMO!$B$5),RASTREABILIDADE!$B:$B,IF(RESUMO!$B$6="Todas","&lt;&gt;",RESUMO!$B$6))&gt;0,1,0))</f>
        <v/>
      </c>
      <c r="I63" s="47" t="str">
        <f>IF(OR($C63="",$D63&lt;&gt;"Sim"),"",IF(COUNTIFS(RASTREABILIDADE!$A:$A,"C1",RASTREABILIDADE!$G:$G,$C63,RASTREABILIDADE!$H:$H,"Sim",RASTREABILIDADE!$C:$C,IF(RESUMO!$B$5="Todas","&lt;&gt;",RESUMO!$B$5),RASTREABILIDADE!$B:$B,IF(RESUMO!$B$6="Todas","&lt;&gt;",RESUMO!$B$6))&gt;0,1,0))</f>
        <v/>
      </c>
      <c r="J63" s="47" t="str">
        <f>IF(OR($C63="",$D63&lt;&gt;"Sim"),"",IF(COUNTIFS(RASTREABILIDADE!$A:$A,"C2",RASTREABILIDADE!$G:$G,$C63,RASTREABILIDADE!$H:$H,"Sim",RASTREABILIDADE!$C:$C,IF(RESUMO!$B$5="Todas","&lt;&gt;",RESUMO!$B$5),RASTREABILIDADE!$B:$B,IF(RESUMO!$B$6="Todas","&lt;&gt;",RESUMO!$B$6))&gt;0,1,0))</f>
        <v/>
      </c>
    </row>
    <row r="64" ht="15.75" customHeight="1">
      <c r="A64" s="47">
        <v>64.0</v>
      </c>
      <c r="B64" s="47" t="str">
        <f>IF(GABARITO!$B65="","",IF(COUNTIF(GABARITO!$B$4:$B65,GABARITO!$B65)=1,GABARITO!$B65,""))</f>
        <v/>
      </c>
      <c r="C64" s="47" t="str">
        <f>IF(GABARITO!$G65="","",GABARITO!$G65)</f>
        <v/>
      </c>
      <c r="D64" s="47" t="str">
        <f>IF(GABARITO!$J65="","",GABARITO!$J65)</f>
        <v/>
      </c>
      <c r="E64" s="47" t="str">
        <f>IFERROR(__xludf.DUMMYFUNCTION("IF($B64="""","""",IF(SUMPRODUCT((RASTREABILIDADE!$A$2:$A$2000=""C0"")*(RASTREABILIDADE!$F$2:$F$2000=""Sim"")*REGEXMATCH(RASTREABILIDADE!$E$2:$E$2000,""(^|[^A-Za-z0-9])""&amp;$B64&amp;""($|[^A-Za-z0-9])"")*(((RESUMO!$B$5=""Todas"")+(RASTREABILIDADE!$C$2:$C$2000=RE"&amp;"SUMO!$B$5))&gt;0)*(((RESUMO!$B$6=""Todas"")+(RASTREABILIDADE!$B$2:$B$2000=RESUMO!$B$6))&gt;0))&gt;0,1,0))"),"")</f>
        <v/>
      </c>
      <c r="F64" s="47" t="str">
        <f>IFERROR(__xludf.DUMMYFUNCTION("IF($B64="""","""",IF(SUMPRODUCT((RASTREABILIDADE!$A$2:$A$2000=""C1"")*(RASTREABILIDADE!$F$2:$F$2000=""Sim"")*REGEXMATCH(RASTREABILIDADE!$E$2:$E$2000,""(^|[^A-Za-z0-9])""&amp;$B64&amp;""($|[^A-Za-z0-9])"")*(((RESUMO!$B$5=""Todas"")+(RASTREABILIDADE!$C$2:$C$2000=RE"&amp;"SUMO!$B$5))&gt;0)*(((RESUMO!$B$6=""Todas"")+(RASTREABILIDADE!$B$2:$B$2000=RESUMO!$B$6))&gt;0))&gt;0,1,0))"),"")</f>
        <v/>
      </c>
      <c r="G64" s="47" t="str">
        <f>IFERROR(__xludf.DUMMYFUNCTION("IF($B64="""","""",IF(SUMPRODUCT((RASTREABILIDADE!$A$2:$A$2000=""C2"")*(RASTREABILIDADE!$F$2:$F$2000=""Sim"")*REGEXMATCH(RASTREABILIDADE!$E$2:$E$2000,""(^|[^A-Za-z0-9])""&amp;$B64&amp;""($|[^A-Za-z0-9])"")*(((RESUMO!$B$5=""Todas"")+(RASTREABILIDADE!$C$2:$C$2000=RE"&amp;"SUMO!$B$5))&gt;0)*(((RESUMO!$B$6=""Todas"")+(RASTREABILIDADE!$B$2:$B$2000=RESUMO!$B$6))&gt;0))&gt;0,1,0))"),"")</f>
        <v/>
      </c>
      <c r="H64" s="47" t="str">
        <f>IF(OR($C64="",$D64&lt;&gt;"Sim"),"",IF(COUNTIFS(RASTREABILIDADE!$A:$A,"C0",RASTREABILIDADE!$G:$G,$C64,RASTREABILIDADE!$H:$H,"Sim",RASTREABILIDADE!$C:$C,IF(RESUMO!$B$5="Todas","&lt;&gt;",RESUMO!$B$5),RASTREABILIDADE!$B:$B,IF(RESUMO!$B$6="Todas","&lt;&gt;",RESUMO!$B$6))&gt;0,1,0))</f>
        <v/>
      </c>
      <c r="I64" s="47" t="str">
        <f>IF(OR($C64="",$D64&lt;&gt;"Sim"),"",IF(COUNTIFS(RASTREABILIDADE!$A:$A,"C1",RASTREABILIDADE!$G:$G,$C64,RASTREABILIDADE!$H:$H,"Sim",RASTREABILIDADE!$C:$C,IF(RESUMO!$B$5="Todas","&lt;&gt;",RESUMO!$B$5),RASTREABILIDADE!$B:$B,IF(RESUMO!$B$6="Todas","&lt;&gt;",RESUMO!$B$6))&gt;0,1,0))</f>
        <v/>
      </c>
      <c r="J64" s="47" t="str">
        <f>IF(OR($C64="",$D64&lt;&gt;"Sim"),"",IF(COUNTIFS(RASTREABILIDADE!$A:$A,"C2",RASTREABILIDADE!$G:$G,$C64,RASTREABILIDADE!$H:$H,"Sim",RASTREABILIDADE!$C:$C,IF(RESUMO!$B$5="Todas","&lt;&gt;",RESUMO!$B$5),RASTREABILIDADE!$B:$B,IF(RESUMO!$B$6="Todas","&lt;&gt;",RESUMO!$B$6))&gt;0,1,0))</f>
        <v/>
      </c>
    </row>
    <row r="65" ht="15.75" customHeight="1">
      <c r="A65" s="47">
        <v>65.0</v>
      </c>
      <c r="B65" s="47" t="str">
        <f>IF(GABARITO!$B66="","",IF(COUNTIF(GABARITO!$B$4:$B66,GABARITO!$B66)=1,GABARITO!$B66,""))</f>
        <v/>
      </c>
      <c r="C65" s="47" t="str">
        <f>IF(GABARITO!$G66="","",GABARITO!$G66)</f>
        <v/>
      </c>
      <c r="D65" s="47" t="str">
        <f>IF(GABARITO!$J66="","",GABARITO!$J66)</f>
        <v/>
      </c>
      <c r="E65" s="47" t="str">
        <f>IFERROR(__xludf.DUMMYFUNCTION("IF($B65="""","""",IF(SUMPRODUCT((RASTREABILIDADE!$A$2:$A$2000=""C0"")*(RASTREABILIDADE!$F$2:$F$2000=""Sim"")*REGEXMATCH(RASTREABILIDADE!$E$2:$E$2000,""(^|[^A-Za-z0-9])""&amp;$B65&amp;""($|[^A-Za-z0-9])"")*(((RESUMO!$B$5=""Todas"")+(RASTREABILIDADE!$C$2:$C$2000=RE"&amp;"SUMO!$B$5))&gt;0)*(((RESUMO!$B$6=""Todas"")+(RASTREABILIDADE!$B$2:$B$2000=RESUMO!$B$6))&gt;0))&gt;0,1,0))"),"")</f>
        <v/>
      </c>
      <c r="F65" s="47" t="str">
        <f>IFERROR(__xludf.DUMMYFUNCTION("IF($B65="""","""",IF(SUMPRODUCT((RASTREABILIDADE!$A$2:$A$2000=""C1"")*(RASTREABILIDADE!$F$2:$F$2000=""Sim"")*REGEXMATCH(RASTREABILIDADE!$E$2:$E$2000,""(^|[^A-Za-z0-9])""&amp;$B65&amp;""($|[^A-Za-z0-9])"")*(((RESUMO!$B$5=""Todas"")+(RASTREABILIDADE!$C$2:$C$2000=RE"&amp;"SUMO!$B$5))&gt;0)*(((RESUMO!$B$6=""Todas"")+(RASTREABILIDADE!$B$2:$B$2000=RESUMO!$B$6))&gt;0))&gt;0,1,0))"),"")</f>
        <v/>
      </c>
      <c r="G65" s="47" t="str">
        <f>IFERROR(__xludf.DUMMYFUNCTION("IF($B65="""","""",IF(SUMPRODUCT((RASTREABILIDADE!$A$2:$A$2000=""C2"")*(RASTREABILIDADE!$F$2:$F$2000=""Sim"")*REGEXMATCH(RASTREABILIDADE!$E$2:$E$2000,""(^|[^A-Za-z0-9])""&amp;$B65&amp;""($|[^A-Za-z0-9])"")*(((RESUMO!$B$5=""Todas"")+(RASTREABILIDADE!$C$2:$C$2000=RE"&amp;"SUMO!$B$5))&gt;0)*(((RESUMO!$B$6=""Todas"")+(RASTREABILIDADE!$B$2:$B$2000=RESUMO!$B$6))&gt;0))&gt;0,1,0))"),"")</f>
        <v/>
      </c>
      <c r="H65" s="47" t="str">
        <f>IF(OR($C65="",$D65&lt;&gt;"Sim"),"",IF(COUNTIFS(RASTREABILIDADE!$A:$A,"C0",RASTREABILIDADE!$G:$G,$C65,RASTREABILIDADE!$H:$H,"Sim",RASTREABILIDADE!$C:$C,IF(RESUMO!$B$5="Todas","&lt;&gt;",RESUMO!$B$5),RASTREABILIDADE!$B:$B,IF(RESUMO!$B$6="Todas","&lt;&gt;",RESUMO!$B$6))&gt;0,1,0))</f>
        <v/>
      </c>
      <c r="I65" s="47" t="str">
        <f>IF(OR($C65="",$D65&lt;&gt;"Sim"),"",IF(COUNTIFS(RASTREABILIDADE!$A:$A,"C1",RASTREABILIDADE!$G:$G,$C65,RASTREABILIDADE!$H:$H,"Sim",RASTREABILIDADE!$C:$C,IF(RESUMO!$B$5="Todas","&lt;&gt;",RESUMO!$B$5),RASTREABILIDADE!$B:$B,IF(RESUMO!$B$6="Todas","&lt;&gt;",RESUMO!$B$6))&gt;0,1,0))</f>
        <v/>
      </c>
      <c r="J65" s="47" t="str">
        <f>IF(OR($C65="",$D65&lt;&gt;"Sim"),"",IF(COUNTIFS(RASTREABILIDADE!$A:$A,"C2",RASTREABILIDADE!$G:$G,$C65,RASTREABILIDADE!$H:$H,"Sim",RASTREABILIDADE!$C:$C,IF(RESUMO!$B$5="Todas","&lt;&gt;",RESUMO!$B$5),RASTREABILIDADE!$B:$B,IF(RESUMO!$B$6="Todas","&lt;&gt;",RESUMO!$B$6))&gt;0,1,0))</f>
        <v/>
      </c>
    </row>
    <row r="66" ht="15.75" customHeight="1">
      <c r="A66" s="47">
        <v>66.0</v>
      </c>
      <c r="B66" s="47" t="str">
        <f>IF(GABARITO!$B67="","",IF(COUNTIF(GABARITO!$B$4:$B67,GABARITO!$B67)=1,GABARITO!$B67,""))</f>
        <v/>
      </c>
      <c r="C66" s="47" t="str">
        <f>IF(GABARITO!$G67="","",GABARITO!$G67)</f>
        <v/>
      </c>
      <c r="D66" s="47" t="str">
        <f>IF(GABARITO!$J67="","",GABARITO!$J67)</f>
        <v/>
      </c>
      <c r="E66" s="47" t="str">
        <f>IFERROR(__xludf.DUMMYFUNCTION("IF($B66="""","""",IF(SUMPRODUCT((RASTREABILIDADE!$A$2:$A$2000=""C0"")*(RASTREABILIDADE!$F$2:$F$2000=""Sim"")*REGEXMATCH(RASTREABILIDADE!$E$2:$E$2000,""(^|[^A-Za-z0-9])""&amp;$B66&amp;""($|[^A-Za-z0-9])"")*(((RESUMO!$B$5=""Todas"")+(RASTREABILIDADE!$C$2:$C$2000=RE"&amp;"SUMO!$B$5))&gt;0)*(((RESUMO!$B$6=""Todas"")+(RASTREABILIDADE!$B$2:$B$2000=RESUMO!$B$6))&gt;0))&gt;0,1,0))"),"")</f>
        <v/>
      </c>
      <c r="F66" s="47" t="str">
        <f>IFERROR(__xludf.DUMMYFUNCTION("IF($B66="""","""",IF(SUMPRODUCT((RASTREABILIDADE!$A$2:$A$2000=""C1"")*(RASTREABILIDADE!$F$2:$F$2000=""Sim"")*REGEXMATCH(RASTREABILIDADE!$E$2:$E$2000,""(^|[^A-Za-z0-9])""&amp;$B66&amp;""($|[^A-Za-z0-9])"")*(((RESUMO!$B$5=""Todas"")+(RASTREABILIDADE!$C$2:$C$2000=RE"&amp;"SUMO!$B$5))&gt;0)*(((RESUMO!$B$6=""Todas"")+(RASTREABILIDADE!$B$2:$B$2000=RESUMO!$B$6))&gt;0))&gt;0,1,0))"),"")</f>
        <v/>
      </c>
      <c r="G66" s="47" t="str">
        <f>IFERROR(__xludf.DUMMYFUNCTION("IF($B66="""","""",IF(SUMPRODUCT((RASTREABILIDADE!$A$2:$A$2000=""C2"")*(RASTREABILIDADE!$F$2:$F$2000=""Sim"")*REGEXMATCH(RASTREABILIDADE!$E$2:$E$2000,""(^|[^A-Za-z0-9])""&amp;$B66&amp;""($|[^A-Za-z0-9])"")*(((RESUMO!$B$5=""Todas"")+(RASTREABILIDADE!$C$2:$C$2000=RE"&amp;"SUMO!$B$5))&gt;0)*(((RESUMO!$B$6=""Todas"")+(RASTREABILIDADE!$B$2:$B$2000=RESUMO!$B$6))&gt;0))&gt;0,1,0))"),"")</f>
        <v/>
      </c>
      <c r="H66" s="47" t="str">
        <f>IF(OR($C66="",$D66&lt;&gt;"Sim"),"",IF(COUNTIFS(RASTREABILIDADE!$A:$A,"C0",RASTREABILIDADE!$G:$G,$C66,RASTREABILIDADE!$H:$H,"Sim",RASTREABILIDADE!$C:$C,IF(RESUMO!$B$5="Todas","&lt;&gt;",RESUMO!$B$5),RASTREABILIDADE!$B:$B,IF(RESUMO!$B$6="Todas","&lt;&gt;",RESUMO!$B$6))&gt;0,1,0))</f>
        <v/>
      </c>
      <c r="I66" s="47" t="str">
        <f>IF(OR($C66="",$D66&lt;&gt;"Sim"),"",IF(COUNTIFS(RASTREABILIDADE!$A:$A,"C1",RASTREABILIDADE!$G:$G,$C66,RASTREABILIDADE!$H:$H,"Sim",RASTREABILIDADE!$C:$C,IF(RESUMO!$B$5="Todas","&lt;&gt;",RESUMO!$B$5),RASTREABILIDADE!$B:$B,IF(RESUMO!$B$6="Todas","&lt;&gt;",RESUMO!$B$6))&gt;0,1,0))</f>
        <v/>
      </c>
      <c r="J66" s="47" t="str">
        <f>IF(OR($C66="",$D66&lt;&gt;"Sim"),"",IF(COUNTIFS(RASTREABILIDADE!$A:$A,"C2",RASTREABILIDADE!$G:$G,$C66,RASTREABILIDADE!$H:$H,"Sim",RASTREABILIDADE!$C:$C,IF(RESUMO!$B$5="Todas","&lt;&gt;",RESUMO!$B$5),RASTREABILIDADE!$B:$B,IF(RESUMO!$B$6="Todas","&lt;&gt;",RESUMO!$B$6))&gt;0,1,0))</f>
        <v/>
      </c>
    </row>
    <row r="67" ht="15.75" customHeight="1">
      <c r="A67" s="47">
        <v>67.0</v>
      </c>
      <c r="B67" s="47" t="str">
        <f>IF(GABARITO!$B68="","",IF(COUNTIF(GABARITO!$B$4:$B68,GABARITO!$B68)=1,GABARITO!$B68,""))</f>
        <v/>
      </c>
      <c r="C67" s="47" t="str">
        <f>IF(GABARITO!$G68="","",GABARITO!$G68)</f>
        <v/>
      </c>
      <c r="D67" s="47" t="str">
        <f>IF(GABARITO!$J68="","",GABARITO!$J68)</f>
        <v/>
      </c>
      <c r="E67" s="47" t="str">
        <f>IFERROR(__xludf.DUMMYFUNCTION("IF($B67="""","""",IF(SUMPRODUCT((RASTREABILIDADE!$A$2:$A$2000=""C0"")*(RASTREABILIDADE!$F$2:$F$2000=""Sim"")*REGEXMATCH(RASTREABILIDADE!$E$2:$E$2000,""(^|[^A-Za-z0-9])""&amp;$B67&amp;""($|[^A-Za-z0-9])"")*(((RESUMO!$B$5=""Todas"")+(RASTREABILIDADE!$C$2:$C$2000=RE"&amp;"SUMO!$B$5))&gt;0)*(((RESUMO!$B$6=""Todas"")+(RASTREABILIDADE!$B$2:$B$2000=RESUMO!$B$6))&gt;0))&gt;0,1,0))"),"")</f>
        <v/>
      </c>
      <c r="F67" s="47" t="str">
        <f>IFERROR(__xludf.DUMMYFUNCTION("IF($B67="""","""",IF(SUMPRODUCT((RASTREABILIDADE!$A$2:$A$2000=""C1"")*(RASTREABILIDADE!$F$2:$F$2000=""Sim"")*REGEXMATCH(RASTREABILIDADE!$E$2:$E$2000,""(^|[^A-Za-z0-9])""&amp;$B67&amp;""($|[^A-Za-z0-9])"")*(((RESUMO!$B$5=""Todas"")+(RASTREABILIDADE!$C$2:$C$2000=RE"&amp;"SUMO!$B$5))&gt;0)*(((RESUMO!$B$6=""Todas"")+(RASTREABILIDADE!$B$2:$B$2000=RESUMO!$B$6))&gt;0))&gt;0,1,0))"),"")</f>
        <v/>
      </c>
      <c r="G67" s="47" t="str">
        <f>IFERROR(__xludf.DUMMYFUNCTION("IF($B67="""","""",IF(SUMPRODUCT((RASTREABILIDADE!$A$2:$A$2000=""C2"")*(RASTREABILIDADE!$F$2:$F$2000=""Sim"")*REGEXMATCH(RASTREABILIDADE!$E$2:$E$2000,""(^|[^A-Za-z0-9])""&amp;$B67&amp;""($|[^A-Za-z0-9])"")*(((RESUMO!$B$5=""Todas"")+(RASTREABILIDADE!$C$2:$C$2000=RE"&amp;"SUMO!$B$5))&gt;0)*(((RESUMO!$B$6=""Todas"")+(RASTREABILIDADE!$B$2:$B$2000=RESUMO!$B$6))&gt;0))&gt;0,1,0))"),"")</f>
        <v/>
      </c>
      <c r="H67" s="47" t="str">
        <f>IF(OR($C67="",$D67&lt;&gt;"Sim"),"",IF(COUNTIFS(RASTREABILIDADE!$A:$A,"C0",RASTREABILIDADE!$G:$G,$C67,RASTREABILIDADE!$H:$H,"Sim",RASTREABILIDADE!$C:$C,IF(RESUMO!$B$5="Todas","&lt;&gt;",RESUMO!$B$5),RASTREABILIDADE!$B:$B,IF(RESUMO!$B$6="Todas","&lt;&gt;",RESUMO!$B$6))&gt;0,1,0))</f>
        <v/>
      </c>
      <c r="I67" s="47" t="str">
        <f>IF(OR($C67="",$D67&lt;&gt;"Sim"),"",IF(COUNTIFS(RASTREABILIDADE!$A:$A,"C1",RASTREABILIDADE!$G:$G,$C67,RASTREABILIDADE!$H:$H,"Sim",RASTREABILIDADE!$C:$C,IF(RESUMO!$B$5="Todas","&lt;&gt;",RESUMO!$B$5),RASTREABILIDADE!$B:$B,IF(RESUMO!$B$6="Todas","&lt;&gt;",RESUMO!$B$6))&gt;0,1,0))</f>
        <v/>
      </c>
      <c r="J67" s="47" t="str">
        <f>IF(OR($C67="",$D67&lt;&gt;"Sim"),"",IF(COUNTIFS(RASTREABILIDADE!$A:$A,"C2",RASTREABILIDADE!$G:$G,$C67,RASTREABILIDADE!$H:$H,"Sim",RASTREABILIDADE!$C:$C,IF(RESUMO!$B$5="Todas","&lt;&gt;",RESUMO!$B$5),RASTREABILIDADE!$B:$B,IF(RESUMO!$B$6="Todas","&lt;&gt;",RESUMO!$B$6))&gt;0,1,0))</f>
        <v/>
      </c>
    </row>
    <row r="68" ht="15.75" customHeight="1">
      <c r="A68" s="47">
        <v>68.0</v>
      </c>
      <c r="B68" s="47" t="str">
        <f>IF(GABARITO!$B69="","",IF(COUNTIF(GABARITO!$B$4:$B69,GABARITO!$B69)=1,GABARITO!$B69,""))</f>
        <v/>
      </c>
      <c r="C68" s="47" t="str">
        <f>IF(GABARITO!$G69="","",GABARITO!$G69)</f>
        <v/>
      </c>
      <c r="D68" s="47" t="str">
        <f>IF(GABARITO!$J69="","",GABARITO!$J69)</f>
        <v/>
      </c>
      <c r="E68" s="47" t="str">
        <f>IFERROR(__xludf.DUMMYFUNCTION("IF($B68="""","""",IF(SUMPRODUCT((RASTREABILIDADE!$A$2:$A$2000=""C0"")*(RASTREABILIDADE!$F$2:$F$2000=""Sim"")*REGEXMATCH(RASTREABILIDADE!$E$2:$E$2000,""(^|[^A-Za-z0-9])""&amp;$B68&amp;""($|[^A-Za-z0-9])"")*(((RESUMO!$B$5=""Todas"")+(RASTREABILIDADE!$C$2:$C$2000=RE"&amp;"SUMO!$B$5))&gt;0)*(((RESUMO!$B$6=""Todas"")+(RASTREABILIDADE!$B$2:$B$2000=RESUMO!$B$6))&gt;0))&gt;0,1,0))"),"")</f>
        <v/>
      </c>
      <c r="F68" s="47" t="str">
        <f>IFERROR(__xludf.DUMMYFUNCTION("IF($B68="""","""",IF(SUMPRODUCT((RASTREABILIDADE!$A$2:$A$2000=""C1"")*(RASTREABILIDADE!$F$2:$F$2000=""Sim"")*REGEXMATCH(RASTREABILIDADE!$E$2:$E$2000,""(^|[^A-Za-z0-9])""&amp;$B68&amp;""($|[^A-Za-z0-9])"")*(((RESUMO!$B$5=""Todas"")+(RASTREABILIDADE!$C$2:$C$2000=RE"&amp;"SUMO!$B$5))&gt;0)*(((RESUMO!$B$6=""Todas"")+(RASTREABILIDADE!$B$2:$B$2000=RESUMO!$B$6))&gt;0))&gt;0,1,0))"),"")</f>
        <v/>
      </c>
      <c r="G68" s="47" t="str">
        <f>IFERROR(__xludf.DUMMYFUNCTION("IF($B68="""","""",IF(SUMPRODUCT((RASTREABILIDADE!$A$2:$A$2000=""C2"")*(RASTREABILIDADE!$F$2:$F$2000=""Sim"")*REGEXMATCH(RASTREABILIDADE!$E$2:$E$2000,""(^|[^A-Za-z0-9])""&amp;$B68&amp;""($|[^A-Za-z0-9])"")*(((RESUMO!$B$5=""Todas"")+(RASTREABILIDADE!$C$2:$C$2000=RE"&amp;"SUMO!$B$5))&gt;0)*(((RESUMO!$B$6=""Todas"")+(RASTREABILIDADE!$B$2:$B$2000=RESUMO!$B$6))&gt;0))&gt;0,1,0))"),"")</f>
        <v/>
      </c>
      <c r="H68" s="47" t="str">
        <f>IF(OR($C68="",$D68&lt;&gt;"Sim"),"",IF(COUNTIFS(RASTREABILIDADE!$A:$A,"C0",RASTREABILIDADE!$G:$G,$C68,RASTREABILIDADE!$H:$H,"Sim",RASTREABILIDADE!$C:$C,IF(RESUMO!$B$5="Todas","&lt;&gt;",RESUMO!$B$5),RASTREABILIDADE!$B:$B,IF(RESUMO!$B$6="Todas","&lt;&gt;",RESUMO!$B$6))&gt;0,1,0))</f>
        <v/>
      </c>
      <c r="I68" s="47" t="str">
        <f>IF(OR($C68="",$D68&lt;&gt;"Sim"),"",IF(COUNTIFS(RASTREABILIDADE!$A:$A,"C1",RASTREABILIDADE!$G:$G,$C68,RASTREABILIDADE!$H:$H,"Sim",RASTREABILIDADE!$C:$C,IF(RESUMO!$B$5="Todas","&lt;&gt;",RESUMO!$B$5),RASTREABILIDADE!$B:$B,IF(RESUMO!$B$6="Todas","&lt;&gt;",RESUMO!$B$6))&gt;0,1,0))</f>
        <v/>
      </c>
      <c r="J68" s="47" t="str">
        <f>IF(OR($C68="",$D68&lt;&gt;"Sim"),"",IF(COUNTIFS(RASTREABILIDADE!$A:$A,"C2",RASTREABILIDADE!$G:$G,$C68,RASTREABILIDADE!$H:$H,"Sim",RASTREABILIDADE!$C:$C,IF(RESUMO!$B$5="Todas","&lt;&gt;",RESUMO!$B$5),RASTREABILIDADE!$B:$B,IF(RESUMO!$B$6="Todas","&lt;&gt;",RESUMO!$B$6))&gt;0,1,0))</f>
        <v/>
      </c>
    </row>
    <row r="69" ht="15.75" customHeight="1">
      <c r="A69" s="47">
        <v>69.0</v>
      </c>
      <c r="B69" s="47" t="str">
        <f>IF(GABARITO!$B70="","",IF(COUNTIF(GABARITO!$B$4:$B70,GABARITO!$B70)=1,GABARITO!$B70,""))</f>
        <v/>
      </c>
      <c r="C69" s="47" t="str">
        <f>IF(GABARITO!$G70="","",GABARITO!$G70)</f>
        <v/>
      </c>
      <c r="D69" s="47" t="str">
        <f>IF(GABARITO!$J70="","",GABARITO!$J70)</f>
        <v/>
      </c>
      <c r="E69" s="47" t="str">
        <f>IFERROR(__xludf.DUMMYFUNCTION("IF($B69="""","""",IF(SUMPRODUCT((RASTREABILIDADE!$A$2:$A$2000=""C0"")*(RASTREABILIDADE!$F$2:$F$2000=""Sim"")*REGEXMATCH(RASTREABILIDADE!$E$2:$E$2000,""(^|[^A-Za-z0-9])""&amp;$B69&amp;""($|[^A-Za-z0-9])"")*(((RESUMO!$B$5=""Todas"")+(RASTREABILIDADE!$C$2:$C$2000=RE"&amp;"SUMO!$B$5))&gt;0)*(((RESUMO!$B$6=""Todas"")+(RASTREABILIDADE!$B$2:$B$2000=RESUMO!$B$6))&gt;0))&gt;0,1,0))"),"")</f>
        <v/>
      </c>
      <c r="F69" s="47" t="str">
        <f>IFERROR(__xludf.DUMMYFUNCTION("IF($B69="""","""",IF(SUMPRODUCT((RASTREABILIDADE!$A$2:$A$2000=""C1"")*(RASTREABILIDADE!$F$2:$F$2000=""Sim"")*REGEXMATCH(RASTREABILIDADE!$E$2:$E$2000,""(^|[^A-Za-z0-9])""&amp;$B69&amp;""($|[^A-Za-z0-9])"")*(((RESUMO!$B$5=""Todas"")+(RASTREABILIDADE!$C$2:$C$2000=RE"&amp;"SUMO!$B$5))&gt;0)*(((RESUMO!$B$6=""Todas"")+(RASTREABILIDADE!$B$2:$B$2000=RESUMO!$B$6))&gt;0))&gt;0,1,0))"),"")</f>
        <v/>
      </c>
      <c r="G69" s="47" t="str">
        <f>IFERROR(__xludf.DUMMYFUNCTION("IF($B69="""","""",IF(SUMPRODUCT((RASTREABILIDADE!$A$2:$A$2000=""C2"")*(RASTREABILIDADE!$F$2:$F$2000=""Sim"")*REGEXMATCH(RASTREABILIDADE!$E$2:$E$2000,""(^|[^A-Za-z0-9])""&amp;$B69&amp;""($|[^A-Za-z0-9])"")*(((RESUMO!$B$5=""Todas"")+(RASTREABILIDADE!$C$2:$C$2000=RE"&amp;"SUMO!$B$5))&gt;0)*(((RESUMO!$B$6=""Todas"")+(RASTREABILIDADE!$B$2:$B$2000=RESUMO!$B$6))&gt;0))&gt;0,1,0))"),"")</f>
        <v/>
      </c>
      <c r="H69" s="47" t="str">
        <f>IF(OR($C69="",$D69&lt;&gt;"Sim"),"",IF(COUNTIFS(RASTREABILIDADE!$A:$A,"C0",RASTREABILIDADE!$G:$G,$C69,RASTREABILIDADE!$H:$H,"Sim",RASTREABILIDADE!$C:$C,IF(RESUMO!$B$5="Todas","&lt;&gt;",RESUMO!$B$5),RASTREABILIDADE!$B:$B,IF(RESUMO!$B$6="Todas","&lt;&gt;",RESUMO!$B$6))&gt;0,1,0))</f>
        <v/>
      </c>
      <c r="I69" s="47" t="str">
        <f>IF(OR($C69="",$D69&lt;&gt;"Sim"),"",IF(COUNTIFS(RASTREABILIDADE!$A:$A,"C1",RASTREABILIDADE!$G:$G,$C69,RASTREABILIDADE!$H:$H,"Sim",RASTREABILIDADE!$C:$C,IF(RESUMO!$B$5="Todas","&lt;&gt;",RESUMO!$B$5),RASTREABILIDADE!$B:$B,IF(RESUMO!$B$6="Todas","&lt;&gt;",RESUMO!$B$6))&gt;0,1,0))</f>
        <v/>
      </c>
      <c r="J69" s="47" t="str">
        <f>IF(OR($C69="",$D69&lt;&gt;"Sim"),"",IF(COUNTIFS(RASTREABILIDADE!$A:$A,"C2",RASTREABILIDADE!$G:$G,$C69,RASTREABILIDADE!$H:$H,"Sim",RASTREABILIDADE!$C:$C,IF(RESUMO!$B$5="Todas","&lt;&gt;",RESUMO!$B$5),RASTREABILIDADE!$B:$B,IF(RESUMO!$B$6="Todas","&lt;&gt;",RESUMO!$B$6))&gt;0,1,0))</f>
        <v/>
      </c>
    </row>
    <row r="70" ht="15.75" customHeight="1">
      <c r="A70" s="47">
        <v>70.0</v>
      </c>
      <c r="B70" s="47" t="str">
        <f>IF(GABARITO!$B71="","",IF(COUNTIF(GABARITO!$B$4:$B71,GABARITO!$B71)=1,GABARITO!$B71,""))</f>
        <v/>
      </c>
      <c r="C70" s="47" t="str">
        <f>IF(GABARITO!$G71="","",GABARITO!$G71)</f>
        <v/>
      </c>
      <c r="D70" s="47" t="str">
        <f>IF(GABARITO!$J71="","",GABARITO!$J71)</f>
        <v/>
      </c>
      <c r="E70" s="47" t="str">
        <f>IFERROR(__xludf.DUMMYFUNCTION("IF($B70="""","""",IF(SUMPRODUCT((RASTREABILIDADE!$A$2:$A$2000=""C0"")*(RASTREABILIDADE!$F$2:$F$2000=""Sim"")*REGEXMATCH(RASTREABILIDADE!$E$2:$E$2000,""(^|[^A-Za-z0-9])""&amp;$B70&amp;""($|[^A-Za-z0-9])"")*(((RESUMO!$B$5=""Todas"")+(RASTREABILIDADE!$C$2:$C$2000=RE"&amp;"SUMO!$B$5))&gt;0)*(((RESUMO!$B$6=""Todas"")+(RASTREABILIDADE!$B$2:$B$2000=RESUMO!$B$6))&gt;0))&gt;0,1,0))"),"")</f>
        <v/>
      </c>
      <c r="F70" s="47" t="str">
        <f>IFERROR(__xludf.DUMMYFUNCTION("IF($B70="""","""",IF(SUMPRODUCT((RASTREABILIDADE!$A$2:$A$2000=""C1"")*(RASTREABILIDADE!$F$2:$F$2000=""Sim"")*REGEXMATCH(RASTREABILIDADE!$E$2:$E$2000,""(^|[^A-Za-z0-9])""&amp;$B70&amp;""($|[^A-Za-z0-9])"")*(((RESUMO!$B$5=""Todas"")+(RASTREABILIDADE!$C$2:$C$2000=RE"&amp;"SUMO!$B$5))&gt;0)*(((RESUMO!$B$6=""Todas"")+(RASTREABILIDADE!$B$2:$B$2000=RESUMO!$B$6))&gt;0))&gt;0,1,0))"),"")</f>
        <v/>
      </c>
      <c r="G70" s="47" t="str">
        <f>IFERROR(__xludf.DUMMYFUNCTION("IF($B70="""","""",IF(SUMPRODUCT((RASTREABILIDADE!$A$2:$A$2000=""C2"")*(RASTREABILIDADE!$F$2:$F$2000=""Sim"")*REGEXMATCH(RASTREABILIDADE!$E$2:$E$2000,""(^|[^A-Za-z0-9])""&amp;$B70&amp;""($|[^A-Za-z0-9])"")*(((RESUMO!$B$5=""Todas"")+(RASTREABILIDADE!$C$2:$C$2000=RE"&amp;"SUMO!$B$5))&gt;0)*(((RESUMO!$B$6=""Todas"")+(RASTREABILIDADE!$B$2:$B$2000=RESUMO!$B$6))&gt;0))&gt;0,1,0))"),"")</f>
        <v/>
      </c>
      <c r="H70" s="47" t="str">
        <f>IF(OR($C70="",$D70&lt;&gt;"Sim"),"",IF(COUNTIFS(RASTREABILIDADE!$A:$A,"C0",RASTREABILIDADE!$G:$G,$C70,RASTREABILIDADE!$H:$H,"Sim",RASTREABILIDADE!$C:$C,IF(RESUMO!$B$5="Todas","&lt;&gt;",RESUMO!$B$5),RASTREABILIDADE!$B:$B,IF(RESUMO!$B$6="Todas","&lt;&gt;",RESUMO!$B$6))&gt;0,1,0))</f>
        <v/>
      </c>
      <c r="I70" s="47" t="str">
        <f>IF(OR($C70="",$D70&lt;&gt;"Sim"),"",IF(COUNTIFS(RASTREABILIDADE!$A:$A,"C1",RASTREABILIDADE!$G:$G,$C70,RASTREABILIDADE!$H:$H,"Sim",RASTREABILIDADE!$C:$C,IF(RESUMO!$B$5="Todas","&lt;&gt;",RESUMO!$B$5),RASTREABILIDADE!$B:$B,IF(RESUMO!$B$6="Todas","&lt;&gt;",RESUMO!$B$6))&gt;0,1,0))</f>
        <v/>
      </c>
      <c r="J70" s="47" t="str">
        <f>IF(OR($C70="",$D70&lt;&gt;"Sim"),"",IF(COUNTIFS(RASTREABILIDADE!$A:$A,"C2",RASTREABILIDADE!$G:$G,$C70,RASTREABILIDADE!$H:$H,"Sim",RASTREABILIDADE!$C:$C,IF(RESUMO!$B$5="Todas","&lt;&gt;",RESUMO!$B$5),RASTREABILIDADE!$B:$B,IF(RESUMO!$B$6="Todas","&lt;&gt;",RESUMO!$B$6))&gt;0,1,0))</f>
        <v/>
      </c>
    </row>
    <row r="71" ht="15.75" customHeight="1">
      <c r="A71" s="47">
        <v>71.0</v>
      </c>
      <c r="B71" s="47" t="str">
        <f>IF(GABARITO!$B72="","",IF(COUNTIF(GABARITO!$B$4:$B72,GABARITO!$B72)=1,GABARITO!$B72,""))</f>
        <v/>
      </c>
      <c r="C71" s="47" t="str">
        <f>IF(GABARITO!$G72="","",GABARITO!$G72)</f>
        <v/>
      </c>
      <c r="D71" s="47" t="str">
        <f>IF(GABARITO!$J72="","",GABARITO!$J72)</f>
        <v/>
      </c>
      <c r="E71" s="47" t="str">
        <f>IFERROR(__xludf.DUMMYFUNCTION("IF($B71="""","""",IF(SUMPRODUCT((RASTREABILIDADE!$A$2:$A$2000=""C0"")*(RASTREABILIDADE!$F$2:$F$2000=""Sim"")*REGEXMATCH(RASTREABILIDADE!$E$2:$E$2000,""(^|[^A-Za-z0-9])""&amp;$B71&amp;""($|[^A-Za-z0-9])"")*(((RESUMO!$B$5=""Todas"")+(RASTREABILIDADE!$C$2:$C$2000=RE"&amp;"SUMO!$B$5))&gt;0)*(((RESUMO!$B$6=""Todas"")+(RASTREABILIDADE!$B$2:$B$2000=RESUMO!$B$6))&gt;0))&gt;0,1,0))"),"")</f>
        <v/>
      </c>
      <c r="F71" s="47" t="str">
        <f>IFERROR(__xludf.DUMMYFUNCTION("IF($B71="""","""",IF(SUMPRODUCT((RASTREABILIDADE!$A$2:$A$2000=""C1"")*(RASTREABILIDADE!$F$2:$F$2000=""Sim"")*REGEXMATCH(RASTREABILIDADE!$E$2:$E$2000,""(^|[^A-Za-z0-9])""&amp;$B71&amp;""($|[^A-Za-z0-9])"")*(((RESUMO!$B$5=""Todas"")+(RASTREABILIDADE!$C$2:$C$2000=RE"&amp;"SUMO!$B$5))&gt;0)*(((RESUMO!$B$6=""Todas"")+(RASTREABILIDADE!$B$2:$B$2000=RESUMO!$B$6))&gt;0))&gt;0,1,0))"),"")</f>
        <v/>
      </c>
      <c r="G71" s="47" t="str">
        <f>IFERROR(__xludf.DUMMYFUNCTION("IF($B71="""","""",IF(SUMPRODUCT((RASTREABILIDADE!$A$2:$A$2000=""C2"")*(RASTREABILIDADE!$F$2:$F$2000=""Sim"")*REGEXMATCH(RASTREABILIDADE!$E$2:$E$2000,""(^|[^A-Za-z0-9])""&amp;$B71&amp;""($|[^A-Za-z0-9])"")*(((RESUMO!$B$5=""Todas"")+(RASTREABILIDADE!$C$2:$C$2000=RE"&amp;"SUMO!$B$5))&gt;0)*(((RESUMO!$B$6=""Todas"")+(RASTREABILIDADE!$B$2:$B$2000=RESUMO!$B$6))&gt;0))&gt;0,1,0))"),"")</f>
        <v/>
      </c>
      <c r="H71" s="47" t="str">
        <f>IF(OR($C71="",$D71&lt;&gt;"Sim"),"",IF(COUNTIFS(RASTREABILIDADE!$A:$A,"C0",RASTREABILIDADE!$G:$G,$C71,RASTREABILIDADE!$H:$H,"Sim",RASTREABILIDADE!$C:$C,IF(RESUMO!$B$5="Todas","&lt;&gt;",RESUMO!$B$5),RASTREABILIDADE!$B:$B,IF(RESUMO!$B$6="Todas","&lt;&gt;",RESUMO!$B$6))&gt;0,1,0))</f>
        <v/>
      </c>
      <c r="I71" s="47" t="str">
        <f>IF(OR($C71="",$D71&lt;&gt;"Sim"),"",IF(COUNTIFS(RASTREABILIDADE!$A:$A,"C1",RASTREABILIDADE!$G:$G,$C71,RASTREABILIDADE!$H:$H,"Sim",RASTREABILIDADE!$C:$C,IF(RESUMO!$B$5="Todas","&lt;&gt;",RESUMO!$B$5),RASTREABILIDADE!$B:$B,IF(RESUMO!$B$6="Todas","&lt;&gt;",RESUMO!$B$6))&gt;0,1,0))</f>
        <v/>
      </c>
      <c r="J71" s="47" t="str">
        <f>IF(OR($C71="",$D71&lt;&gt;"Sim"),"",IF(COUNTIFS(RASTREABILIDADE!$A:$A,"C2",RASTREABILIDADE!$G:$G,$C71,RASTREABILIDADE!$H:$H,"Sim",RASTREABILIDADE!$C:$C,IF(RESUMO!$B$5="Todas","&lt;&gt;",RESUMO!$B$5),RASTREABILIDADE!$B:$B,IF(RESUMO!$B$6="Todas","&lt;&gt;",RESUMO!$B$6))&gt;0,1,0))</f>
        <v/>
      </c>
    </row>
    <row r="72" ht="15.75" customHeight="1">
      <c r="A72" s="47">
        <v>72.0</v>
      </c>
      <c r="B72" s="47" t="str">
        <f>IF(GABARITO!$B73="","",IF(COUNTIF(GABARITO!$B$4:$B73,GABARITO!$B73)=1,GABARITO!$B73,""))</f>
        <v/>
      </c>
      <c r="C72" s="47" t="str">
        <f>IF(GABARITO!$G73="","",GABARITO!$G73)</f>
        <v/>
      </c>
      <c r="D72" s="47" t="str">
        <f>IF(GABARITO!$J73="","",GABARITO!$J73)</f>
        <v/>
      </c>
      <c r="E72" s="47" t="str">
        <f>IFERROR(__xludf.DUMMYFUNCTION("IF($B72="""","""",IF(SUMPRODUCT((RASTREABILIDADE!$A$2:$A$2000=""C0"")*(RASTREABILIDADE!$F$2:$F$2000=""Sim"")*REGEXMATCH(RASTREABILIDADE!$E$2:$E$2000,""(^|[^A-Za-z0-9])""&amp;$B72&amp;""($|[^A-Za-z0-9])"")*(((RESUMO!$B$5=""Todas"")+(RASTREABILIDADE!$C$2:$C$2000=RE"&amp;"SUMO!$B$5))&gt;0)*(((RESUMO!$B$6=""Todas"")+(RASTREABILIDADE!$B$2:$B$2000=RESUMO!$B$6))&gt;0))&gt;0,1,0))"),"")</f>
        <v/>
      </c>
      <c r="F72" s="47" t="str">
        <f>IFERROR(__xludf.DUMMYFUNCTION("IF($B72="""","""",IF(SUMPRODUCT((RASTREABILIDADE!$A$2:$A$2000=""C1"")*(RASTREABILIDADE!$F$2:$F$2000=""Sim"")*REGEXMATCH(RASTREABILIDADE!$E$2:$E$2000,""(^|[^A-Za-z0-9])""&amp;$B72&amp;""($|[^A-Za-z0-9])"")*(((RESUMO!$B$5=""Todas"")+(RASTREABILIDADE!$C$2:$C$2000=RE"&amp;"SUMO!$B$5))&gt;0)*(((RESUMO!$B$6=""Todas"")+(RASTREABILIDADE!$B$2:$B$2000=RESUMO!$B$6))&gt;0))&gt;0,1,0))"),"")</f>
        <v/>
      </c>
      <c r="G72" s="47" t="str">
        <f>IFERROR(__xludf.DUMMYFUNCTION("IF($B72="""","""",IF(SUMPRODUCT((RASTREABILIDADE!$A$2:$A$2000=""C2"")*(RASTREABILIDADE!$F$2:$F$2000=""Sim"")*REGEXMATCH(RASTREABILIDADE!$E$2:$E$2000,""(^|[^A-Za-z0-9])""&amp;$B72&amp;""($|[^A-Za-z0-9])"")*(((RESUMO!$B$5=""Todas"")+(RASTREABILIDADE!$C$2:$C$2000=RE"&amp;"SUMO!$B$5))&gt;0)*(((RESUMO!$B$6=""Todas"")+(RASTREABILIDADE!$B$2:$B$2000=RESUMO!$B$6))&gt;0))&gt;0,1,0))"),"")</f>
        <v/>
      </c>
      <c r="H72" s="47" t="str">
        <f>IF(OR($C72="",$D72&lt;&gt;"Sim"),"",IF(COUNTIFS(RASTREABILIDADE!$A:$A,"C0",RASTREABILIDADE!$G:$G,$C72,RASTREABILIDADE!$H:$H,"Sim",RASTREABILIDADE!$C:$C,IF(RESUMO!$B$5="Todas","&lt;&gt;",RESUMO!$B$5),RASTREABILIDADE!$B:$B,IF(RESUMO!$B$6="Todas","&lt;&gt;",RESUMO!$B$6))&gt;0,1,0))</f>
        <v/>
      </c>
      <c r="I72" s="47" t="str">
        <f>IF(OR($C72="",$D72&lt;&gt;"Sim"),"",IF(COUNTIFS(RASTREABILIDADE!$A:$A,"C1",RASTREABILIDADE!$G:$G,$C72,RASTREABILIDADE!$H:$H,"Sim",RASTREABILIDADE!$C:$C,IF(RESUMO!$B$5="Todas","&lt;&gt;",RESUMO!$B$5),RASTREABILIDADE!$B:$B,IF(RESUMO!$B$6="Todas","&lt;&gt;",RESUMO!$B$6))&gt;0,1,0))</f>
        <v/>
      </c>
      <c r="J72" s="47" t="str">
        <f>IF(OR($C72="",$D72&lt;&gt;"Sim"),"",IF(COUNTIFS(RASTREABILIDADE!$A:$A,"C2",RASTREABILIDADE!$G:$G,$C72,RASTREABILIDADE!$H:$H,"Sim",RASTREABILIDADE!$C:$C,IF(RESUMO!$B$5="Todas","&lt;&gt;",RESUMO!$B$5),RASTREABILIDADE!$B:$B,IF(RESUMO!$B$6="Todas","&lt;&gt;",RESUMO!$B$6))&gt;0,1,0))</f>
        <v/>
      </c>
    </row>
    <row r="73" ht="15.75" customHeight="1">
      <c r="A73" s="47">
        <v>73.0</v>
      </c>
      <c r="B73" s="47" t="str">
        <f>IF(GABARITO!$B74="","",IF(COUNTIF(GABARITO!$B$4:$B74,GABARITO!$B74)=1,GABARITO!$B74,""))</f>
        <v/>
      </c>
      <c r="C73" s="47" t="str">
        <f>IF(GABARITO!$G74="","",GABARITO!$G74)</f>
        <v/>
      </c>
      <c r="D73" s="47" t="str">
        <f>IF(GABARITO!$J74="","",GABARITO!$J74)</f>
        <v/>
      </c>
      <c r="E73" s="47" t="str">
        <f>IFERROR(__xludf.DUMMYFUNCTION("IF($B73="""","""",IF(SUMPRODUCT((RASTREABILIDADE!$A$2:$A$2000=""C0"")*(RASTREABILIDADE!$F$2:$F$2000=""Sim"")*REGEXMATCH(RASTREABILIDADE!$E$2:$E$2000,""(^|[^A-Za-z0-9])""&amp;$B73&amp;""($|[^A-Za-z0-9])"")*(((RESUMO!$B$5=""Todas"")+(RASTREABILIDADE!$C$2:$C$2000=RE"&amp;"SUMO!$B$5))&gt;0)*(((RESUMO!$B$6=""Todas"")+(RASTREABILIDADE!$B$2:$B$2000=RESUMO!$B$6))&gt;0))&gt;0,1,0))"),"")</f>
        <v/>
      </c>
      <c r="F73" s="47" t="str">
        <f>IFERROR(__xludf.DUMMYFUNCTION("IF($B73="""","""",IF(SUMPRODUCT((RASTREABILIDADE!$A$2:$A$2000=""C1"")*(RASTREABILIDADE!$F$2:$F$2000=""Sim"")*REGEXMATCH(RASTREABILIDADE!$E$2:$E$2000,""(^|[^A-Za-z0-9])""&amp;$B73&amp;""($|[^A-Za-z0-9])"")*(((RESUMO!$B$5=""Todas"")+(RASTREABILIDADE!$C$2:$C$2000=RE"&amp;"SUMO!$B$5))&gt;0)*(((RESUMO!$B$6=""Todas"")+(RASTREABILIDADE!$B$2:$B$2000=RESUMO!$B$6))&gt;0))&gt;0,1,0))"),"")</f>
        <v/>
      </c>
      <c r="G73" s="47" t="str">
        <f>IFERROR(__xludf.DUMMYFUNCTION("IF($B73="""","""",IF(SUMPRODUCT((RASTREABILIDADE!$A$2:$A$2000=""C2"")*(RASTREABILIDADE!$F$2:$F$2000=""Sim"")*REGEXMATCH(RASTREABILIDADE!$E$2:$E$2000,""(^|[^A-Za-z0-9])""&amp;$B73&amp;""($|[^A-Za-z0-9])"")*(((RESUMO!$B$5=""Todas"")+(RASTREABILIDADE!$C$2:$C$2000=RE"&amp;"SUMO!$B$5))&gt;0)*(((RESUMO!$B$6=""Todas"")+(RASTREABILIDADE!$B$2:$B$2000=RESUMO!$B$6))&gt;0))&gt;0,1,0))"),"")</f>
        <v/>
      </c>
      <c r="H73" s="47" t="str">
        <f>IF(OR($C73="",$D73&lt;&gt;"Sim"),"",IF(COUNTIFS(RASTREABILIDADE!$A:$A,"C0",RASTREABILIDADE!$G:$G,$C73,RASTREABILIDADE!$H:$H,"Sim",RASTREABILIDADE!$C:$C,IF(RESUMO!$B$5="Todas","&lt;&gt;",RESUMO!$B$5),RASTREABILIDADE!$B:$B,IF(RESUMO!$B$6="Todas","&lt;&gt;",RESUMO!$B$6))&gt;0,1,0))</f>
        <v/>
      </c>
      <c r="I73" s="47" t="str">
        <f>IF(OR($C73="",$D73&lt;&gt;"Sim"),"",IF(COUNTIFS(RASTREABILIDADE!$A:$A,"C1",RASTREABILIDADE!$G:$G,$C73,RASTREABILIDADE!$H:$H,"Sim",RASTREABILIDADE!$C:$C,IF(RESUMO!$B$5="Todas","&lt;&gt;",RESUMO!$B$5),RASTREABILIDADE!$B:$B,IF(RESUMO!$B$6="Todas","&lt;&gt;",RESUMO!$B$6))&gt;0,1,0))</f>
        <v/>
      </c>
      <c r="J73" s="47" t="str">
        <f>IF(OR($C73="",$D73&lt;&gt;"Sim"),"",IF(COUNTIFS(RASTREABILIDADE!$A:$A,"C2",RASTREABILIDADE!$G:$G,$C73,RASTREABILIDADE!$H:$H,"Sim",RASTREABILIDADE!$C:$C,IF(RESUMO!$B$5="Todas","&lt;&gt;",RESUMO!$B$5),RASTREABILIDADE!$B:$B,IF(RESUMO!$B$6="Todas","&lt;&gt;",RESUMO!$B$6))&gt;0,1,0))</f>
        <v/>
      </c>
    </row>
    <row r="74" ht="15.75" customHeight="1">
      <c r="A74" s="47">
        <v>74.0</v>
      </c>
      <c r="B74" s="47" t="str">
        <f>IF(GABARITO!$B75="","",IF(COUNTIF(GABARITO!$B$4:$B75,GABARITO!$B75)=1,GABARITO!$B75,""))</f>
        <v/>
      </c>
      <c r="C74" s="47" t="str">
        <f>IF(GABARITO!$G75="","",GABARITO!$G75)</f>
        <v/>
      </c>
      <c r="D74" s="47" t="str">
        <f>IF(GABARITO!$J75="","",GABARITO!$J75)</f>
        <v/>
      </c>
      <c r="E74" s="47" t="str">
        <f>IFERROR(__xludf.DUMMYFUNCTION("IF($B74="""","""",IF(SUMPRODUCT((RASTREABILIDADE!$A$2:$A$2000=""C0"")*(RASTREABILIDADE!$F$2:$F$2000=""Sim"")*REGEXMATCH(RASTREABILIDADE!$E$2:$E$2000,""(^|[^A-Za-z0-9])""&amp;$B74&amp;""($|[^A-Za-z0-9])"")*(((RESUMO!$B$5=""Todas"")+(RASTREABILIDADE!$C$2:$C$2000=RE"&amp;"SUMO!$B$5))&gt;0)*(((RESUMO!$B$6=""Todas"")+(RASTREABILIDADE!$B$2:$B$2000=RESUMO!$B$6))&gt;0))&gt;0,1,0))"),"")</f>
        <v/>
      </c>
      <c r="F74" s="47" t="str">
        <f>IFERROR(__xludf.DUMMYFUNCTION("IF($B74="""","""",IF(SUMPRODUCT((RASTREABILIDADE!$A$2:$A$2000=""C1"")*(RASTREABILIDADE!$F$2:$F$2000=""Sim"")*REGEXMATCH(RASTREABILIDADE!$E$2:$E$2000,""(^|[^A-Za-z0-9])""&amp;$B74&amp;""($|[^A-Za-z0-9])"")*(((RESUMO!$B$5=""Todas"")+(RASTREABILIDADE!$C$2:$C$2000=RE"&amp;"SUMO!$B$5))&gt;0)*(((RESUMO!$B$6=""Todas"")+(RASTREABILIDADE!$B$2:$B$2000=RESUMO!$B$6))&gt;0))&gt;0,1,0))"),"")</f>
        <v/>
      </c>
      <c r="G74" s="47" t="str">
        <f>IFERROR(__xludf.DUMMYFUNCTION("IF($B74="""","""",IF(SUMPRODUCT((RASTREABILIDADE!$A$2:$A$2000=""C2"")*(RASTREABILIDADE!$F$2:$F$2000=""Sim"")*REGEXMATCH(RASTREABILIDADE!$E$2:$E$2000,""(^|[^A-Za-z0-9])""&amp;$B74&amp;""($|[^A-Za-z0-9])"")*(((RESUMO!$B$5=""Todas"")+(RASTREABILIDADE!$C$2:$C$2000=RE"&amp;"SUMO!$B$5))&gt;0)*(((RESUMO!$B$6=""Todas"")+(RASTREABILIDADE!$B$2:$B$2000=RESUMO!$B$6))&gt;0))&gt;0,1,0))"),"")</f>
        <v/>
      </c>
      <c r="H74" s="47" t="str">
        <f>IF(OR($C74="",$D74&lt;&gt;"Sim"),"",IF(COUNTIFS(RASTREABILIDADE!$A:$A,"C0",RASTREABILIDADE!$G:$G,$C74,RASTREABILIDADE!$H:$H,"Sim",RASTREABILIDADE!$C:$C,IF(RESUMO!$B$5="Todas","&lt;&gt;",RESUMO!$B$5),RASTREABILIDADE!$B:$B,IF(RESUMO!$B$6="Todas","&lt;&gt;",RESUMO!$B$6))&gt;0,1,0))</f>
        <v/>
      </c>
      <c r="I74" s="47" t="str">
        <f>IF(OR($C74="",$D74&lt;&gt;"Sim"),"",IF(COUNTIFS(RASTREABILIDADE!$A:$A,"C1",RASTREABILIDADE!$G:$G,$C74,RASTREABILIDADE!$H:$H,"Sim",RASTREABILIDADE!$C:$C,IF(RESUMO!$B$5="Todas","&lt;&gt;",RESUMO!$B$5),RASTREABILIDADE!$B:$B,IF(RESUMO!$B$6="Todas","&lt;&gt;",RESUMO!$B$6))&gt;0,1,0))</f>
        <v/>
      </c>
      <c r="J74" s="47" t="str">
        <f>IF(OR($C74="",$D74&lt;&gt;"Sim"),"",IF(COUNTIFS(RASTREABILIDADE!$A:$A,"C2",RASTREABILIDADE!$G:$G,$C74,RASTREABILIDADE!$H:$H,"Sim",RASTREABILIDADE!$C:$C,IF(RESUMO!$B$5="Todas","&lt;&gt;",RESUMO!$B$5),RASTREABILIDADE!$B:$B,IF(RESUMO!$B$6="Todas","&lt;&gt;",RESUMO!$B$6))&gt;0,1,0))</f>
        <v/>
      </c>
    </row>
    <row r="75" ht="15.75" customHeight="1">
      <c r="A75" s="47">
        <v>75.0</v>
      </c>
      <c r="B75" s="47" t="str">
        <f>IF(GABARITO!$B76="","",IF(COUNTIF(GABARITO!$B$4:$B76,GABARITO!$B76)=1,GABARITO!$B76,""))</f>
        <v/>
      </c>
      <c r="C75" s="47" t="str">
        <f>IF(GABARITO!$G76="","",GABARITO!$G76)</f>
        <v/>
      </c>
      <c r="D75" s="47" t="str">
        <f>IF(GABARITO!$J76="","",GABARITO!$J76)</f>
        <v/>
      </c>
      <c r="E75" s="47" t="str">
        <f>IFERROR(__xludf.DUMMYFUNCTION("IF($B75="""","""",IF(SUMPRODUCT((RASTREABILIDADE!$A$2:$A$2000=""C0"")*(RASTREABILIDADE!$F$2:$F$2000=""Sim"")*REGEXMATCH(RASTREABILIDADE!$E$2:$E$2000,""(^|[^A-Za-z0-9])""&amp;$B75&amp;""($|[^A-Za-z0-9])"")*(((RESUMO!$B$5=""Todas"")+(RASTREABILIDADE!$C$2:$C$2000=RE"&amp;"SUMO!$B$5))&gt;0)*(((RESUMO!$B$6=""Todas"")+(RASTREABILIDADE!$B$2:$B$2000=RESUMO!$B$6))&gt;0))&gt;0,1,0))"),"")</f>
        <v/>
      </c>
      <c r="F75" s="47" t="str">
        <f>IFERROR(__xludf.DUMMYFUNCTION("IF($B75="""","""",IF(SUMPRODUCT((RASTREABILIDADE!$A$2:$A$2000=""C1"")*(RASTREABILIDADE!$F$2:$F$2000=""Sim"")*REGEXMATCH(RASTREABILIDADE!$E$2:$E$2000,""(^|[^A-Za-z0-9])""&amp;$B75&amp;""($|[^A-Za-z0-9])"")*(((RESUMO!$B$5=""Todas"")+(RASTREABILIDADE!$C$2:$C$2000=RE"&amp;"SUMO!$B$5))&gt;0)*(((RESUMO!$B$6=""Todas"")+(RASTREABILIDADE!$B$2:$B$2000=RESUMO!$B$6))&gt;0))&gt;0,1,0))"),"")</f>
        <v/>
      </c>
      <c r="G75" s="47" t="str">
        <f>IFERROR(__xludf.DUMMYFUNCTION("IF($B75="""","""",IF(SUMPRODUCT((RASTREABILIDADE!$A$2:$A$2000=""C2"")*(RASTREABILIDADE!$F$2:$F$2000=""Sim"")*REGEXMATCH(RASTREABILIDADE!$E$2:$E$2000,""(^|[^A-Za-z0-9])""&amp;$B75&amp;""($|[^A-Za-z0-9])"")*(((RESUMO!$B$5=""Todas"")+(RASTREABILIDADE!$C$2:$C$2000=RE"&amp;"SUMO!$B$5))&gt;0)*(((RESUMO!$B$6=""Todas"")+(RASTREABILIDADE!$B$2:$B$2000=RESUMO!$B$6))&gt;0))&gt;0,1,0))"),"")</f>
        <v/>
      </c>
      <c r="H75" s="47" t="str">
        <f>IF(OR($C75="",$D75&lt;&gt;"Sim"),"",IF(COUNTIFS(RASTREABILIDADE!$A:$A,"C0",RASTREABILIDADE!$G:$G,$C75,RASTREABILIDADE!$H:$H,"Sim",RASTREABILIDADE!$C:$C,IF(RESUMO!$B$5="Todas","&lt;&gt;",RESUMO!$B$5),RASTREABILIDADE!$B:$B,IF(RESUMO!$B$6="Todas","&lt;&gt;",RESUMO!$B$6))&gt;0,1,0))</f>
        <v/>
      </c>
      <c r="I75" s="47" t="str">
        <f>IF(OR($C75="",$D75&lt;&gt;"Sim"),"",IF(COUNTIFS(RASTREABILIDADE!$A:$A,"C1",RASTREABILIDADE!$G:$G,$C75,RASTREABILIDADE!$H:$H,"Sim",RASTREABILIDADE!$C:$C,IF(RESUMO!$B$5="Todas","&lt;&gt;",RESUMO!$B$5),RASTREABILIDADE!$B:$B,IF(RESUMO!$B$6="Todas","&lt;&gt;",RESUMO!$B$6))&gt;0,1,0))</f>
        <v/>
      </c>
      <c r="J75" s="47" t="str">
        <f>IF(OR($C75="",$D75&lt;&gt;"Sim"),"",IF(COUNTIFS(RASTREABILIDADE!$A:$A,"C2",RASTREABILIDADE!$G:$G,$C75,RASTREABILIDADE!$H:$H,"Sim",RASTREABILIDADE!$C:$C,IF(RESUMO!$B$5="Todas","&lt;&gt;",RESUMO!$B$5),RASTREABILIDADE!$B:$B,IF(RESUMO!$B$6="Todas","&lt;&gt;",RESUMO!$B$6))&gt;0,1,0))</f>
        <v/>
      </c>
    </row>
    <row r="76" ht="15.75" customHeight="1">
      <c r="A76" s="47">
        <v>76.0</v>
      </c>
      <c r="B76" s="47" t="str">
        <f>IF(GABARITO!$B77="","",IF(COUNTIF(GABARITO!$B$4:$B77,GABARITO!$B77)=1,GABARITO!$B77,""))</f>
        <v/>
      </c>
      <c r="C76" s="47" t="str">
        <f>IF(GABARITO!$G77="","",GABARITO!$G77)</f>
        <v/>
      </c>
      <c r="D76" s="47" t="str">
        <f>IF(GABARITO!$J77="","",GABARITO!$J77)</f>
        <v/>
      </c>
      <c r="E76" s="47" t="str">
        <f>IFERROR(__xludf.DUMMYFUNCTION("IF($B76="""","""",IF(SUMPRODUCT((RASTREABILIDADE!$A$2:$A$2000=""C0"")*(RASTREABILIDADE!$F$2:$F$2000=""Sim"")*REGEXMATCH(RASTREABILIDADE!$E$2:$E$2000,""(^|[^A-Za-z0-9])""&amp;$B76&amp;""($|[^A-Za-z0-9])"")*(((RESUMO!$B$5=""Todas"")+(RASTREABILIDADE!$C$2:$C$2000=RE"&amp;"SUMO!$B$5))&gt;0)*(((RESUMO!$B$6=""Todas"")+(RASTREABILIDADE!$B$2:$B$2000=RESUMO!$B$6))&gt;0))&gt;0,1,0))"),"")</f>
        <v/>
      </c>
      <c r="F76" s="47" t="str">
        <f>IFERROR(__xludf.DUMMYFUNCTION("IF($B76="""","""",IF(SUMPRODUCT((RASTREABILIDADE!$A$2:$A$2000=""C1"")*(RASTREABILIDADE!$F$2:$F$2000=""Sim"")*REGEXMATCH(RASTREABILIDADE!$E$2:$E$2000,""(^|[^A-Za-z0-9])""&amp;$B76&amp;""($|[^A-Za-z0-9])"")*(((RESUMO!$B$5=""Todas"")+(RASTREABILIDADE!$C$2:$C$2000=RE"&amp;"SUMO!$B$5))&gt;0)*(((RESUMO!$B$6=""Todas"")+(RASTREABILIDADE!$B$2:$B$2000=RESUMO!$B$6))&gt;0))&gt;0,1,0))"),"")</f>
        <v/>
      </c>
      <c r="G76" s="47" t="str">
        <f>IFERROR(__xludf.DUMMYFUNCTION("IF($B76="""","""",IF(SUMPRODUCT((RASTREABILIDADE!$A$2:$A$2000=""C2"")*(RASTREABILIDADE!$F$2:$F$2000=""Sim"")*REGEXMATCH(RASTREABILIDADE!$E$2:$E$2000,""(^|[^A-Za-z0-9])""&amp;$B76&amp;""($|[^A-Za-z0-9])"")*(((RESUMO!$B$5=""Todas"")+(RASTREABILIDADE!$C$2:$C$2000=RE"&amp;"SUMO!$B$5))&gt;0)*(((RESUMO!$B$6=""Todas"")+(RASTREABILIDADE!$B$2:$B$2000=RESUMO!$B$6))&gt;0))&gt;0,1,0))"),"")</f>
        <v/>
      </c>
      <c r="H76" s="47" t="str">
        <f>IF(OR($C76="",$D76&lt;&gt;"Sim"),"",IF(COUNTIFS(RASTREABILIDADE!$A:$A,"C0",RASTREABILIDADE!$G:$G,$C76,RASTREABILIDADE!$H:$H,"Sim",RASTREABILIDADE!$C:$C,IF(RESUMO!$B$5="Todas","&lt;&gt;",RESUMO!$B$5),RASTREABILIDADE!$B:$B,IF(RESUMO!$B$6="Todas","&lt;&gt;",RESUMO!$B$6))&gt;0,1,0))</f>
        <v/>
      </c>
      <c r="I76" s="47" t="str">
        <f>IF(OR($C76="",$D76&lt;&gt;"Sim"),"",IF(COUNTIFS(RASTREABILIDADE!$A:$A,"C1",RASTREABILIDADE!$G:$G,$C76,RASTREABILIDADE!$H:$H,"Sim",RASTREABILIDADE!$C:$C,IF(RESUMO!$B$5="Todas","&lt;&gt;",RESUMO!$B$5),RASTREABILIDADE!$B:$B,IF(RESUMO!$B$6="Todas","&lt;&gt;",RESUMO!$B$6))&gt;0,1,0))</f>
        <v/>
      </c>
      <c r="J76" s="47" t="str">
        <f>IF(OR($C76="",$D76&lt;&gt;"Sim"),"",IF(COUNTIFS(RASTREABILIDADE!$A:$A,"C2",RASTREABILIDADE!$G:$G,$C76,RASTREABILIDADE!$H:$H,"Sim",RASTREABILIDADE!$C:$C,IF(RESUMO!$B$5="Todas","&lt;&gt;",RESUMO!$B$5),RASTREABILIDADE!$B:$B,IF(RESUMO!$B$6="Todas","&lt;&gt;",RESUMO!$B$6))&gt;0,1,0))</f>
        <v/>
      </c>
    </row>
    <row r="77" ht="15.75" customHeight="1">
      <c r="A77" s="47">
        <v>77.0</v>
      </c>
      <c r="B77" s="47" t="str">
        <f>IF(GABARITO!$B78="","",IF(COUNTIF(GABARITO!$B$4:$B78,GABARITO!$B78)=1,GABARITO!$B78,""))</f>
        <v/>
      </c>
      <c r="C77" s="47" t="str">
        <f>IF(GABARITO!$G78="","",GABARITO!$G78)</f>
        <v/>
      </c>
      <c r="D77" s="47" t="str">
        <f>IF(GABARITO!$J78="","",GABARITO!$J78)</f>
        <v/>
      </c>
      <c r="E77" s="47" t="str">
        <f>IFERROR(__xludf.DUMMYFUNCTION("IF($B77="""","""",IF(SUMPRODUCT((RASTREABILIDADE!$A$2:$A$2000=""C0"")*(RASTREABILIDADE!$F$2:$F$2000=""Sim"")*REGEXMATCH(RASTREABILIDADE!$E$2:$E$2000,""(^|[^A-Za-z0-9])""&amp;$B77&amp;""($|[^A-Za-z0-9])"")*(((RESUMO!$B$5=""Todas"")+(RASTREABILIDADE!$C$2:$C$2000=RE"&amp;"SUMO!$B$5))&gt;0)*(((RESUMO!$B$6=""Todas"")+(RASTREABILIDADE!$B$2:$B$2000=RESUMO!$B$6))&gt;0))&gt;0,1,0))"),"")</f>
        <v/>
      </c>
      <c r="F77" s="47" t="str">
        <f>IFERROR(__xludf.DUMMYFUNCTION("IF($B77="""","""",IF(SUMPRODUCT((RASTREABILIDADE!$A$2:$A$2000=""C1"")*(RASTREABILIDADE!$F$2:$F$2000=""Sim"")*REGEXMATCH(RASTREABILIDADE!$E$2:$E$2000,""(^|[^A-Za-z0-9])""&amp;$B77&amp;""($|[^A-Za-z0-9])"")*(((RESUMO!$B$5=""Todas"")+(RASTREABILIDADE!$C$2:$C$2000=RE"&amp;"SUMO!$B$5))&gt;0)*(((RESUMO!$B$6=""Todas"")+(RASTREABILIDADE!$B$2:$B$2000=RESUMO!$B$6))&gt;0))&gt;0,1,0))"),"")</f>
        <v/>
      </c>
      <c r="G77" s="47" t="str">
        <f>IFERROR(__xludf.DUMMYFUNCTION("IF($B77="""","""",IF(SUMPRODUCT((RASTREABILIDADE!$A$2:$A$2000=""C2"")*(RASTREABILIDADE!$F$2:$F$2000=""Sim"")*REGEXMATCH(RASTREABILIDADE!$E$2:$E$2000,""(^|[^A-Za-z0-9])""&amp;$B77&amp;""($|[^A-Za-z0-9])"")*(((RESUMO!$B$5=""Todas"")+(RASTREABILIDADE!$C$2:$C$2000=RE"&amp;"SUMO!$B$5))&gt;0)*(((RESUMO!$B$6=""Todas"")+(RASTREABILIDADE!$B$2:$B$2000=RESUMO!$B$6))&gt;0))&gt;0,1,0))"),"")</f>
        <v/>
      </c>
      <c r="H77" s="47" t="str">
        <f>IF(OR($C77="",$D77&lt;&gt;"Sim"),"",IF(COUNTIFS(RASTREABILIDADE!$A:$A,"C0",RASTREABILIDADE!$G:$G,$C77,RASTREABILIDADE!$H:$H,"Sim",RASTREABILIDADE!$C:$C,IF(RESUMO!$B$5="Todas","&lt;&gt;",RESUMO!$B$5),RASTREABILIDADE!$B:$B,IF(RESUMO!$B$6="Todas","&lt;&gt;",RESUMO!$B$6))&gt;0,1,0))</f>
        <v/>
      </c>
      <c r="I77" s="47" t="str">
        <f>IF(OR($C77="",$D77&lt;&gt;"Sim"),"",IF(COUNTIFS(RASTREABILIDADE!$A:$A,"C1",RASTREABILIDADE!$G:$G,$C77,RASTREABILIDADE!$H:$H,"Sim",RASTREABILIDADE!$C:$C,IF(RESUMO!$B$5="Todas","&lt;&gt;",RESUMO!$B$5),RASTREABILIDADE!$B:$B,IF(RESUMO!$B$6="Todas","&lt;&gt;",RESUMO!$B$6))&gt;0,1,0))</f>
        <v/>
      </c>
      <c r="J77" s="47" t="str">
        <f>IF(OR($C77="",$D77&lt;&gt;"Sim"),"",IF(COUNTIFS(RASTREABILIDADE!$A:$A,"C2",RASTREABILIDADE!$G:$G,$C77,RASTREABILIDADE!$H:$H,"Sim",RASTREABILIDADE!$C:$C,IF(RESUMO!$B$5="Todas","&lt;&gt;",RESUMO!$B$5),RASTREABILIDADE!$B:$B,IF(RESUMO!$B$6="Todas","&lt;&gt;",RESUMO!$B$6))&gt;0,1,0))</f>
        <v/>
      </c>
    </row>
    <row r="78" ht="15.75" customHeight="1">
      <c r="A78" s="47">
        <v>78.0</v>
      </c>
      <c r="B78" s="47" t="str">
        <f>IF(GABARITO!$B79="","",IF(COUNTIF(GABARITO!$B$4:$B79,GABARITO!$B79)=1,GABARITO!$B79,""))</f>
        <v/>
      </c>
      <c r="C78" s="47" t="str">
        <f>IF(GABARITO!$G79="","",GABARITO!$G79)</f>
        <v/>
      </c>
      <c r="D78" s="47" t="str">
        <f>IF(GABARITO!$J79="","",GABARITO!$J79)</f>
        <v/>
      </c>
      <c r="E78" s="47" t="str">
        <f>IFERROR(__xludf.DUMMYFUNCTION("IF($B78="""","""",IF(SUMPRODUCT((RASTREABILIDADE!$A$2:$A$2000=""C0"")*(RASTREABILIDADE!$F$2:$F$2000=""Sim"")*REGEXMATCH(RASTREABILIDADE!$E$2:$E$2000,""(^|[^A-Za-z0-9])""&amp;$B78&amp;""($|[^A-Za-z0-9])"")*(((RESUMO!$B$5=""Todas"")+(RASTREABILIDADE!$C$2:$C$2000=RE"&amp;"SUMO!$B$5))&gt;0)*(((RESUMO!$B$6=""Todas"")+(RASTREABILIDADE!$B$2:$B$2000=RESUMO!$B$6))&gt;0))&gt;0,1,0))"),"")</f>
        <v/>
      </c>
      <c r="F78" s="47" t="str">
        <f>IFERROR(__xludf.DUMMYFUNCTION("IF($B78="""","""",IF(SUMPRODUCT((RASTREABILIDADE!$A$2:$A$2000=""C1"")*(RASTREABILIDADE!$F$2:$F$2000=""Sim"")*REGEXMATCH(RASTREABILIDADE!$E$2:$E$2000,""(^|[^A-Za-z0-9])""&amp;$B78&amp;""($|[^A-Za-z0-9])"")*(((RESUMO!$B$5=""Todas"")+(RASTREABILIDADE!$C$2:$C$2000=RE"&amp;"SUMO!$B$5))&gt;0)*(((RESUMO!$B$6=""Todas"")+(RASTREABILIDADE!$B$2:$B$2000=RESUMO!$B$6))&gt;0))&gt;0,1,0))"),"")</f>
        <v/>
      </c>
      <c r="G78" s="47" t="str">
        <f>IFERROR(__xludf.DUMMYFUNCTION("IF($B78="""","""",IF(SUMPRODUCT((RASTREABILIDADE!$A$2:$A$2000=""C2"")*(RASTREABILIDADE!$F$2:$F$2000=""Sim"")*REGEXMATCH(RASTREABILIDADE!$E$2:$E$2000,""(^|[^A-Za-z0-9])""&amp;$B78&amp;""($|[^A-Za-z0-9])"")*(((RESUMO!$B$5=""Todas"")+(RASTREABILIDADE!$C$2:$C$2000=RE"&amp;"SUMO!$B$5))&gt;0)*(((RESUMO!$B$6=""Todas"")+(RASTREABILIDADE!$B$2:$B$2000=RESUMO!$B$6))&gt;0))&gt;0,1,0))"),"")</f>
        <v/>
      </c>
      <c r="H78" s="47" t="str">
        <f>IF(OR($C78="",$D78&lt;&gt;"Sim"),"",IF(COUNTIFS(RASTREABILIDADE!$A:$A,"C0",RASTREABILIDADE!$G:$G,$C78,RASTREABILIDADE!$H:$H,"Sim",RASTREABILIDADE!$C:$C,IF(RESUMO!$B$5="Todas","&lt;&gt;",RESUMO!$B$5),RASTREABILIDADE!$B:$B,IF(RESUMO!$B$6="Todas","&lt;&gt;",RESUMO!$B$6))&gt;0,1,0))</f>
        <v/>
      </c>
      <c r="I78" s="47" t="str">
        <f>IF(OR($C78="",$D78&lt;&gt;"Sim"),"",IF(COUNTIFS(RASTREABILIDADE!$A:$A,"C1",RASTREABILIDADE!$G:$G,$C78,RASTREABILIDADE!$H:$H,"Sim",RASTREABILIDADE!$C:$C,IF(RESUMO!$B$5="Todas","&lt;&gt;",RESUMO!$B$5),RASTREABILIDADE!$B:$B,IF(RESUMO!$B$6="Todas","&lt;&gt;",RESUMO!$B$6))&gt;0,1,0))</f>
        <v/>
      </c>
      <c r="J78" s="47" t="str">
        <f>IF(OR($C78="",$D78&lt;&gt;"Sim"),"",IF(COUNTIFS(RASTREABILIDADE!$A:$A,"C2",RASTREABILIDADE!$G:$G,$C78,RASTREABILIDADE!$H:$H,"Sim",RASTREABILIDADE!$C:$C,IF(RESUMO!$B$5="Todas","&lt;&gt;",RESUMO!$B$5),RASTREABILIDADE!$B:$B,IF(RESUMO!$B$6="Todas","&lt;&gt;",RESUMO!$B$6))&gt;0,1,0))</f>
        <v/>
      </c>
    </row>
    <row r="79" ht="15.75" customHeight="1">
      <c r="A79" s="47">
        <v>79.0</v>
      </c>
      <c r="B79" s="47" t="str">
        <f>IF(GABARITO!$B80="","",IF(COUNTIF(GABARITO!$B$4:$B80,GABARITO!$B80)=1,GABARITO!$B80,""))</f>
        <v/>
      </c>
      <c r="C79" s="47" t="str">
        <f>IF(GABARITO!$G80="","",GABARITO!$G80)</f>
        <v/>
      </c>
      <c r="D79" s="47" t="str">
        <f>IF(GABARITO!$J80="","",GABARITO!$J80)</f>
        <v/>
      </c>
      <c r="E79" s="47" t="str">
        <f>IFERROR(__xludf.DUMMYFUNCTION("IF($B79="""","""",IF(SUMPRODUCT((RASTREABILIDADE!$A$2:$A$2000=""C0"")*(RASTREABILIDADE!$F$2:$F$2000=""Sim"")*REGEXMATCH(RASTREABILIDADE!$E$2:$E$2000,""(^|[^A-Za-z0-9])""&amp;$B79&amp;""($|[^A-Za-z0-9])"")*(((RESUMO!$B$5=""Todas"")+(RASTREABILIDADE!$C$2:$C$2000=RE"&amp;"SUMO!$B$5))&gt;0)*(((RESUMO!$B$6=""Todas"")+(RASTREABILIDADE!$B$2:$B$2000=RESUMO!$B$6))&gt;0))&gt;0,1,0))"),"")</f>
        <v/>
      </c>
      <c r="F79" s="47" t="str">
        <f>IFERROR(__xludf.DUMMYFUNCTION("IF($B79="""","""",IF(SUMPRODUCT((RASTREABILIDADE!$A$2:$A$2000=""C1"")*(RASTREABILIDADE!$F$2:$F$2000=""Sim"")*REGEXMATCH(RASTREABILIDADE!$E$2:$E$2000,""(^|[^A-Za-z0-9])""&amp;$B79&amp;""($|[^A-Za-z0-9])"")*(((RESUMO!$B$5=""Todas"")+(RASTREABILIDADE!$C$2:$C$2000=RE"&amp;"SUMO!$B$5))&gt;0)*(((RESUMO!$B$6=""Todas"")+(RASTREABILIDADE!$B$2:$B$2000=RESUMO!$B$6))&gt;0))&gt;0,1,0))"),"")</f>
        <v/>
      </c>
      <c r="G79" s="47" t="str">
        <f>IFERROR(__xludf.DUMMYFUNCTION("IF($B79="""","""",IF(SUMPRODUCT((RASTREABILIDADE!$A$2:$A$2000=""C2"")*(RASTREABILIDADE!$F$2:$F$2000=""Sim"")*REGEXMATCH(RASTREABILIDADE!$E$2:$E$2000,""(^|[^A-Za-z0-9])""&amp;$B79&amp;""($|[^A-Za-z0-9])"")*(((RESUMO!$B$5=""Todas"")+(RASTREABILIDADE!$C$2:$C$2000=RE"&amp;"SUMO!$B$5))&gt;0)*(((RESUMO!$B$6=""Todas"")+(RASTREABILIDADE!$B$2:$B$2000=RESUMO!$B$6))&gt;0))&gt;0,1,0))"),"")</f>
        <v/>
      </c>
      <c r="H79" s="47" t="str">
        <f>IF(OR($C79="",$D79&lt;&gt;"Sim"),"",IF(COUNTIFS(RASTREABILIDADE!$A:$A,"C0",RASTREABILIDADE!$G:$G,$C79,RASTREABILIDADE!$H:$H,"Sim",RASTREABILIDADE!$C:$C,IF(RESUMO!$B$5="Todas","&lt;&gt;",RESUMO!$B$5),RASTREABILIDADE!$B:$B,IF(RESUMO!$B$6="Todas","&lt;&gt;",RESUMO!$B$6))&gt;0,1,0))</f>
        <v/>
      </c>
      <c r="I79" s="47" t="str">
        <f>IF(OR($C79="",$D79&lt;&gt;"Sim"),"",IF(COUNTIFS(RASTREABILIDADE!$A:$A,"C1",RASTREABILIDADE!$G:$G,$C79,RASTREABILIDADE!$H:$H,"Sim",RASTREABILIDADE!$C:$C,IF(RESUMO!$B$5="Todas","&lt;&gt;",RESUMO!$B$5),RASTREABILIDADE!$B:$B,IF(RESUMO!$B$6="Todas","&lt;&gt;",RESUMO!$B$6))&gt;0,1,0))</f>
        <v/>
      </c>
      <c r="J79" s="47" t="str">
        <f>IF(OR($C79="",$D79&lt;&gt;"Sim"),"",IF(COUNTIFS(RASTREABILIDADE!$A:$A,"C2",RASTREABILIDADE!$G:$G,$C79,RASTREABILIDADE!$H:$H,"Sim",RASTREABILIDADE!$C:$C,IF(RESUMO!$B$5="Todas","&lt;&gt;",RESUMO!$B$5),RASTREABILIDADE!$B:$B,IF(RESUMO!$B$6="Todas","&lt;&gt;",RESUMO!$B$6))&gt;0,1,0))</f>
        <v/>
      </c>
    </row>
    <row r="80" ht="15.75" customHeight="1">
      <c r="A80" s="47">
        <v>80.0</v>
      </c>
      <c r="B80" s="47" t="str">
        <f>IF(GABARITO!$B81="","",IF(COUNTIF(GABARITO!$B$4:$B81,GABARITO!$B81)=1,GABARITO!$B81,""))</f>
        <v/>
      </c>
      <c r="C80" s="47" t="str">
        <f>IF(GABARITO!$G81="","",GABARITO!$G81)</f>
        <v/>
      </c>
      <c r="D80" s="47" t="str">
        <f>IF(GABARITO!$J81="","",GABARITO!$J81)</f>
        <v/>
      </c>
      <c r="E80" s="47" t="str">
        <f>IFERROR(__xludf.DUMMYFUNCTION("IF($B80="""","""",IF(SUMPRODUCT((RASTREABILIDADE!$A$2:$A$2000=""C0"")*(RASTREABILIDADE!$F$2:$F$2000=""Sim"")*REGEXMATCH(RASTREABILIDADE!$E$2:$E$2000,""(^|[^A-Za-z0-9])""&amp;$B80&amp;""($|[^A-Za-z0-9])"")*(((RESUMO!$B$5=""Todas"")+(RASTREABILIDADE!$C$2:$C$2000=RE"&amp;"SUMO!$B$5))&gt;0)*(((RESUMO!$B$6=""Todas"")+(RASTREABILIDADE!$B$2:$B$2000=RESUMO!$B$6))&gt;0))&gt;0,1,0))"),"")</f>
        <v/>
      </c>
      <c r="F80" s="47" t="str">
        <f>IFERROR(__xludf.DUMMYFUNCTION("IF($B80="""","""",IF(SUMPRODUCT((RASTREABILIDADE!$A$2:$A$2000=""C1"")*(RASTREABILIDADE!$F$2:$F$2000=""Sim"")*REGEXMATCH(RASTREABILIDADE!$E$2:$E$2000,""(^|[^A-Za-z0-9])""&amp;$B80&amp;""($|[^A-Za-z0-9])"")*(((RESUMO!$B$5=""Todas"")+(RASTREABILIDADE!$C$2:$C$2000=RE"&amp;"SUMO!$B$5))&gt;0)*(((RESUMO!$B$6=""Todas"")+(RASTREABILIDADE!$B$2:$B$2000=RESUMO!$B$6))&gt;0))&gt;0,1,0))"),"")</f>
        <v/>
      </c>
      <c r="G80" s="47" t="str">
        <f>IFERROR(__xludf.DUMMYFUNCTION("IF($B80="""","""",IF(SUMPRODUCT((RASTREABILIDADE!$A$2:$A$2000=""C2"")*(RASTREABILIDADE!$F$2:$F$2000=""Sim"")*REGEXMATCH(RASTREABILIDADE!$E$2:$E$2000,""(^|[^A-Za-z0-9])""&amp;$B80&amp;""($|[^A-Za-z0-9])"")*(((RESUMO!$B$5=""Todas"")+(RASTREABILIDADE!$C$2:$C$2000=RE"&amp;"SUMO!$B$5))&gt;0)*(((RESUMO!$B$6=""Todas"")+(RASTREABILIDADE!$B$2:$B$2000=RESUMO!$B$6))&gt;0))&gt;0,1,0))"),"")</f>
        <v/>
      </c>
      <c r="H80" s="47" t="str">
        <f>IF(OR($C80="",$D80&lt;&gt;"Sim"),"",IF(COUNTIFS(RASTREABILIDADE!$A:$A,"C0",RASTREABILIDADE!$G:$G,$C80,RASTREABILIDADE!$H:$H,"Sim",RASTREABILIDADE!$C:$C,IF(RESUMO!$B$5="Todas","&lt;&gt;",RESUMO!$B$5),RASTREABILIDADE!$B:$B,IF(RESUMO!$B$6="Todas","&lt;&gt;",RESUMO!$B$6))&gt;0,1,0))</f>
        <v/>
      </c>
      <c r="I80" s="47" t="str">
        <f>IF(OR($C80="",$D80&lt;&gt;"Sim"),"",IF(COUNTIFS(RASTREABILIDADE!$A:$A,"C1",RASTREABILIDADE!$G:$G,$C80,RASTREABILIDADE!$H:$H,"Sim",RASTREABILIDADE!$C:$C,IF(RESUMO!$B$5="Todas","&lt;&gt;",RESUMO!$B$5),RASTREABILIDADE!$B:$B,IF(RESUMO!$B$6="Todas","&lt;&gt;",RESUMO!$B$6))&gt;0,1,0))</f>
        <v/>
      </c>
      <c r="J80" s="47" t="str">
        <f>IF(OR($C80="",$D80&lt;&gt;"Sim"),"",IF(COUNTIFS(RASTREABILIDADE!$A:$A,"C2",RASTREABILIDADE!$G:$G,$C80,RASTREABILIDADE!$H:$H,"Sim",RASTREABILIDADE!$C:$C,IF(RESUMO!$B$5="Todas","&lt;&gt;",RESUMO!$B$5),RASTREABILIDADE!$B:$B,IF(RESUMO!$B$6="Todas","&lt;&gt;",RESUMO!$B$6))&gt;0,1,0))</f>
        <v/>
      </c>
    </row>
    <row r="81" ht="15.75" customHeight="1">
      <c r="A81" s="47">
        <v>81.0</v>
      </c>
      <c r="B81" s="47" t="str">
        <f>IF(GABARITO!$B82="","",IF(COUNTIF(GABARITO!$B$4:$B82,GABARITO!$B82)=1,GABARITO!$B82,""))</f>
        <v/>
      </c>
      <c r="C81" s="47" t="str">
        <f>IF(GABARITO!$G82="","",GABARITO!$G82)</f>
        <v/>
      </c>
      <c r="D81" s="47" t="str">
        <f>IF(GABARITO!$J82="","",GABARITO!$J82)</f>
        <v/>
      </c>
      <c r="E81" s="47" t="str">
        <f>IFERROR(__xludf.DUMMYFUNCTION("IF($B81="""","""",IF(SUMPRODUCT((RASTREABILIDADE!$A$2:$A$2000=""C0"")*(RASTREABILIDADE!$F$2:$F$2000=""Sim"")*REGEXMATCH(RASTREABILIDADE!$E$2:$E$2000,""(^|[^A-Za-z0-9])""&amp;$B81&amp;""($|[^A-Za-z0-9])"")*(((RESUMO!$B$5=""Todas"")+(RASTREABILIDADE!$C$2:$C$2000=RE"&amp;"SUMO!$B$5))&gt;0)*(((RESUMO!$B$6=""Todas"")+(RASTREABILIDADE!$B$2:$B$2000=RESUMO!$B$6))&gt;0))&gt;0,1,0))"),"")</f>
        <v/>
      </c>
      <c r="F81" s="47" t="str">
        <f>IFERROR(__xludf.DUMMYFUNCTION("IF($B81="""","""",IF(SUMPRODUCT((RASTREABILIDADE!$A$2:$A$2000=""C1"")*(RASTREABILIDADE!$F$2:$F$2000=""Sim"")*REGEXMATCH(RASTREABILIDADE!$E$2:$E$2000,""(^|[^A-Za-z0-9])""&amp;$B81&amp;""($|[^A-Za-z0-9])"")*(((RESUMO!$B$5=""Todas"")+(RASTREABILIDADE!$C$2:$C$2000=RE"&amp;"SUMO!$B$5))&gt;0)*(((RESUMO!$B$6=""Todas"")+(RASTREABILIDADE!$B$2:$B$2000=RESUMO!$B$6))&gt;0))&gt;0,1,0))"),"")</f>
        <v/>
      </c>
      <c r="G81" s="47" t="str">
        <f>IFERROR(__xludf.DUMMYFUNCTION("IF($B81="""","""",IF(SUMPRODUCT((RASTREABILIDADE!$A$2:$A$2000=""C2"")*(RASTREABILIDADE!$F$2:$F$2000=""Sim"")*REGEXMATCH(RASTREABILIDADE!$E$2:$E$2000,""(^|[^A-Za-z0-9])""&amp;$B81&amp;""($|[^A-Za-z0-9])"")*(((RESUMO!$B$5=""Todas"")+(RASTREABILIDADE!$C$2:$C$2000=RE"&amp;"SUMO!$B$5))&gt;0)*(((RESUMO!$B$6=""Todas"")+(RASTREABILIDADE!$B$2:$B$2000=RESUMO!$B$6))&gt;0))&gt;0,1,0))"),"")</f>
        <v/>
      </c>
      <c r="H81" s="47" t="str">
        <f>IF(OR($C81="",$D81&lt;&gt;"Sim"),"",IF(COUNTIFS(RASTREABILIDADE!$A:$A,"C0",RASTREABILIDADE!$G:$G,$C81,RASTREABILIDADE!$H:$H,"Sim",RASTREABILIDADE!$C:$C,IF(RESUMO!$B$5="Todas","&lt;&gt;",RESUMO!$B$5),RASTREABILIDADE!$B:$B,IF(RESUMO!$B$6="Todas","&lt;&gt;",RESUMO!$B$6))&gt;0,1,0))</f>
        <v/>
      </c>
      <c r="I81" s="47" t="str">
        <f>IF(OR($C81="",$D81&lt;&gt;"Sim"),"",IF(COUNTIFS(RASTREABILIDADE!$A:$A,"C1",RASTREABILIDADE!$G:$G,$C81,RASTREABILIDADE!$H:$H,"Sim",RASTREABILIDADE!$C:$C,IF(RESUMO!$B$5="Todas","&lt;&gt;",RESUMO!$B$5),RASTREABILIDADE!$B:$B,IF(RESUMO!$B$6="Todas","&lt;&gt;",RESUMO!$B$6))&gt;0,1,0))</f>
        <v/>
      </c>
      <c r="J81" s="47" t="str">
        <f>IF(OR($C81="",$D81&lt;&gt;"Sim"),"",IF(COUNTIFS(RASTREABILIDADE!$A:$A,"C2",RASTREABILIDADE!$G:$G,$C81,RASTREABILIDADE!$H:$H,"Sim",RASTREABILIDADE!$C:$C,IF(RESUMO!$B$5="Todas","&lt;&gt;",RESUMO!$B$5),RASTREABILIDADE!$B:$B,IF(RESUMO!$B$6="Todas","&lt;&gt;",RESUMO!$B$6))&gt;0,1,0))</f>
        <v/>
      </c>
    </row>
    <row r="82" ht="15.75" customHeight="1">
      <c r="A82" s="47">
        <v>82.0</v>
      </c>
      <c r="B82" s="47" t="str">
        <f>IF(GABARITO!$B83="","",IF(COUNTIF(GABARITO!$B$4:$B83,GABARITO!$B83)=1,GABARITO!$B83,""))</f>
        <v/>
      </c>
      <c r="C82" s="47" t="str">
        <f>IF(GABARITO!$G83="","",GABARITO!$G83)</f>
        <v/>
      </c>
      <c r="D82" s="47" t="str">
        <f>IF(GABARITO!$J83="","",GABARITO!$J83)</f>
        <v/>
      </c>
      <c r="E82" s="47" t="str">
        <f>IFERROR(__xludf.DUMMYFUNCTION("IF($B82="""","""",IF(SUMPRODUCT((RASTREABILIDADE!$A$2:$A$2000=""C0"")*(RASTREABILIDADE!$F$2:$F$2000=""Sim"")*REGEXMATCH(RASTREABILIDADE!$E$2:$E$2000,""(^|[^A-Za-z0-9])""&amp;$B82&amp;""($|[^A-Za-z0-9])"")*(((RESUMO!$B$5=""Todas"")+(RASTREABILIDADE!$C$2:$C$2000=RE"&amp;"SUMO!$B$5))&gt;0)*(((RESUMO!$B$6=""Todas"")+(RASTREABILIDADE!$B$2:$B$2000=RESUMO!$B$6))&gt;0))&gt;0,1,0))"),"")</f>
        <v/>
      </c>
      <c r="F82" s="47" t="str">
        <f>IFERROR(__xludf.DUMMYFUNCTION("IF($B82="""","""",IF(SUMPRODUCT((RASTREABILIDADE!$A$2:$A$2000=""C1"")*(RASTREABILIDADE!$F$2:$F$2000=""Sim"")*REGEXMATCH(RASTREABILIDADE!$E$2:$E$2000,""(^|[^A-Za-z0-9])""&amp;$B82&amp;""($|[^A-Za-z0-9])"")*(((RESUMO!$B$5=""Todas"")+(RASTREABILIDADE!$C$2:$C$2000=RE"&amp;"SUMO!$B$5))&gt;0)*(((RESUMO!$B$6=""Todas"")+(RASTREABILIDADE!$B$2:$B$2000=RESUMO!$B$6))&gt;0))&gt;0,1,0))"),"")</f>
        <v/>
      </c>
      <c r="G82" s="47" t="str">
        <f>IFERROR(__xludf.DUMMYFUNCTION("IF($B82="""","""",IF(SUMPRODUCT((RASTREABILIDADE!$A$2:$A$2000=""C2"")*(RASTREABILIDADE!$F$2:$F$2000=""Sim"")*REGEXMATCH(RASTREABILIDADE!$E$2:$E$2000,""(^|[^A-Za-z0-9])""&amp;$B82&amp;""($|[^A-Za-z0-9])"")*(((RESUMO!$B$5=""Todas"")+(RASTREABILIDADE!$C$2:$C$2000=RE"&amp;"SUMO!$B$5))&gt;0)*(((RESUMO!$B$6=""Todas"")+(RASTREABILIDADE!$B$2:$B$2000=RESUMO!$B$6))&gt;0))&gt;0,1,0))"),"")</f>
        <v/>
      </c>
      <c r="H82" s="47" t="str">
        <f>IF(OR($C82="",$D82&lt;&gt;"Sim"),"",IF(COUNTIFS(RASTREABILIDADE!$A:$A,"C0",RASTREABILIDADE!$G:$G,$C82,RASTREABILIDADE!$H:$H,"Sim",RASTREABILIDADE!$C:$C,IF(RESUMO!$B$5="Todas","&lt;&gt;",RESUMO!$B$5),RASTREABILIDADE!$B:$B,IF(RESUMO!$B$6="Todas","&lt;&gt;",RESUMO!$B$6))&gt;0,1,0))</f>
        <v/>
      </c>
      <c r="I82" s="47" t="str">
        <f>IF(OR($C82="",$D82&lt;&gt;"Sim"),"",IF(COUNTIFS(RASTREABILIDADE!$A:$A,"C1",RASTREABILIDADE!$G:$G,$C82,RASTREABILIDADE!$H:$H,"Sim",RASTREABILIDADE!$C:$C,IF(RESUMO!$B$5="Todas","&lt;&gt;",RESUMO!$B$5),RASTREABILIDADE!$B:$B,IF(RESUMO!$B$6="Todas","&lt;&gt;",RESUMO!$B$6))&gt;0,1,0))</f>
        <v/>
      </c>
      <c r="J82" s="47" t="str">
        <f>IF(OR($C82="",$D82&lt;&gt;"Sim"),"",IF(COUNTIFS(RASTREABILIDADE!$A:$A,"C2",RASTREABILIDADE!$G:$G,$C82,RASTREABILIDADE!$H:$H,"Sim",RASTREABILIDADE!$C:$C,IF(RESUMO!$B$5="Todas","&lt;&gt;",RESUMO!$B$5),RASTREABILIDADE!$B:$B,IF(RESUMO!$B$6="Todas","&lt;&gt;",RESUMO!$B$6))&gt;0,1,0))</f>
        <v/>
      </c>
    </row>
    <row r="83" ht="15.75" customHeight="1">
      <c r="A83" s="47">
        <v>83.0</v>
      </c>
      <c r="B83" s="47" t="str">
        <f>IF(GABARITO!$B84="","",IF(COUNTIF(GABARITO!$B$4:$B84,GABARITO!$B84)=1,GABARITO!$B84,""))</f>
        <v/>
      </c>
      <c r="C83" s="47" t="str">
        <f>IF(GABARITO!$G84="","",GABARITO!$G84)</f>
        <v/>
      </c>
      <c r="D83" s="47" t="str">
        <f>IF(GABARITO!$J84="","",GABARITO!$J84)</f>
        <v/>
      </c>
      <c r="E83" s="47" t="str">
        <f>IFERROR(__xludf.DUMMYFUNCTION("IF($B83="""","""",IF(SUMPRODUCT((RASTREABILIDADE!$A$2:$A$2000=""C0"")*(RASTREABILIDADE!$F$2:$F$2000=""Sim"")*REGEXMATCH(RASTREABILIDADE!$E$2:$E$2000,""(^|[^A-Za-z0-9])""&amp;$B83&amp;""($|[^A-Za-z0-9])"")*(((RESUMO!$B$5=""Todas"")+(RASTREABILIDADE!$C$2:$C$2000=RE"&amp;"SUMO!$B$5))&gt;0)*(((RESUMO!$B$6=""Todas"")+(RASTREABILIDADE!$B$2:$B$2000=RESUMO!$B$6))&gt;0))&gt;0,1,0))"),"")</f>
        <v/>
      </c>
      <c r="F83" s="47" t="str">
        <f>IFERROR(__xludf.DUMMYFUNCTION("IF($B83="""","""",IF(SUMPRODUCT((RASTREABILIDADE!$A$2:$A$2000=""C1"")*(RASTREABILIDADE!$F$2:$F$2000=""Sim"")*REGEXMATCH(RASTREABILIDADE!$E$2:$E$2000,""(^|[^A-Za-z0-9])""&amp;$B83&amp;""($|[^A-Za-z0-9])"")*(((RESUMO!$B$5=""Todas"")+(RASTREABILIDADE!$C$2:$C$2000=RE"&amp;"SUMO!$B$5))&gt;0)*(((RESUMO!$B$6=""Todas"")+(RASTREABILIDADE!$B$2:$B$2000=RESUMO!$B$6))&gt;0))&gt;0,1,0))"),"")</f>
        <v/>
      </c>
      <c r="G83" s="47" t="str">
        <f>IFERROR(__xludf.DUMMYFUNCTION("IF($B83="""","""",IF(SUMPRODUCT((RASTREABILIDADE!$A$2:$A$2000=""C2"")*(RASTREABILIDADE!$F$2:$F$2000=""Sim"")*REGEXMATCH(RASTREABILIDADE!$E$2:$E$2000,""(^|[^A-Za-z0-9])""&amp;$B83&amp;""($|[^A-Za-z0-9])"")*(((RESUMO!$B$5=""Todas"")+(RASTREABILIDADE!$C$2:$C$2000=RE"&amp;"SUMO!$B$5))&gt;0)*(((RESUMO!$B$6=""Todas"")+(RASTREABILIDADE!$B$2:$B$2000=RESUMO!$B$6))&gt;0))&gt;0,1,0))"),"")</f>
        <v/>
      </c>
      <c r="H83" s="47" t="str">
        <f>IF(OR($C83="",$D83&lt;&gt;"Sim"),"",IF(COUNTIFS(RASTREABILIDADE!$A:$A,"C0",RASTREABILIDADE!$G:$G,$C83,RASTREABILIDADE!$H:$H,"Sim",RASTREABILIDADE!$C:$C,IF(RESUMO!$B$5="Todas","&lt;&gt;",RESUMO!$B$5),RASTREABILIDADE!$B:$B,IF(RESUMO!$B$6="Todas","&lt;&gt;",RESUMO!$B$6))&gt;0,1,0))</f>
        <v/>
      </c>
      <c r="I83" s="47" t="str">
        <f>IF(OR($C83="",$D83&lt;&gt;"Sim"),"",IF(COUNTIFS(RASTREABILIDADE!$A:$A,"C1",RASTREABILIDADE!$G:$G,$C83,RASTREABILIDADE!$H:$H,"Sim",RASTREABILIDADE!$C:$C,IF(RESUMO!$B$5="Todas","&lt;&gt;",RESUMO!$B$5),RASTREABILIDADE!$B:$B,IF(RESUMO!$B$6="Todas","&lt;&gt;",RESUMO!$B$6))&gt;0,1,0))</f>
        <v/>
      </c>
      <c r="J83" s="47" t="str">
        <f>IF(OR($C83="",$D83&lt;&gt;"Sim"),"",IF(COUNTIFS(RASTREABILIDADE!$A:$A,"C2",RASTREABILIDADE!$G:$G,$C83,RASTREABILIDADE!$H:$H,"Sim",RASTREABILIDADE!$C:$C,IF(RESUMO!$B$5="Todas","&lt;&gt;",RESUMO!$B$5),RASTREABILIDADE!$B:$B,IF(RESUMO!$B$6="Todas","&lt;&gt;",RESUMO!$B$6))&gt;0,1,0))</f>
        <v/>
      </c>
    </row>
    <row r="84" ht="15.75" customHeight="1">
      <c r="A84" s="47">
        <v>84.0</v>
      </c>
      <c r="B84" s="47" t="str">
        <f>IF(GABARITO!$B85="","",IF(COUNTIF(GABARITO!$B$4:$B85,GABARITO!$B85)=1,GABARITO!$B85,""))</f>
        <v/>
      </c>
      <c r="C84" s="47" t="str">
        <f>IF(GABARITO!$G85="","",GABARITO!$G85)</f>
        <v/>
      </c>
      <c r="D84" s="47" t="str">
        <f>IF(GABARITO!$J85="","",GABARITO!$J85)</f>
        <v/>
      </c>
      <c r="E84" s="47" t="str">
        <f>IFERROR(__xludf.DUMMYFUNCTION("IF($B84="""","""",IF(SUMPRODUCT((RASTREABILIDADE!$A$2:$A$2000=""C0"")*(RASTREABILIDADE!$F$2:$F$2000=""Sim"")*REGEXMATCH(RASTREABILIDADE!$E$2:$E$2000,""(^|[^A-Za-z0-9])""&amp;$B84&amp;""($|[^A-Za-z0-9])"")*(((RESUMO!$B$5=""Todas"")+(RASTREABILIDADE!$C$2:$C$2000=RE"&amp;"SUMO!$B$5))&gt;0)*(((RESUMO!$B$6=""Todas"")+(RASTREABILIDADE!$B$2:$B$2000=RESUMO!$B$6))&gt;0))&gt;0,1,0))"),"")</f>
        <v/>
      </c>
      <c r="F84" s="47" t="str">
        <f>IFERROR(__xludf.DUMMYFUNCTION("IF($B84="""","""",IF(SUMPRODUCT((RASTREABILIDADE!$A$2:$A$2000=""C1"")*(RASTREABILIDADE!$F$2:$F$2000=""Sim"")*REGEXMATCH(RASTREABILIDADE!$E$2:$E$2000,""(^|[^A-Za-z0-9])""&amp;$B84&amp;""($|[^A-Za-z0-9])"")*(((RESUMO!$B$5=""Todas"")+(RASTREABILIDADE!$C$2:$C$2000=RE"&amp;"SUMO!$B$5))&gt;0)*(((RESUMO!$B$6=""Todas"")+(RASTREABILIDADE!$B$2:$B$2000=RESUMO!$B$6))&gt;0))&gt;0,1,0))"),"")</f>
        <v/>
      </c>
      <c r="G84" s="47" t="str">
        <f>IFERROR(__xludf.DUMMYFUNCTION("IF($B84="""","""",IF(SUMPRODUCT((RASTREABILIDADE!$A$2:$A$2000=""C2"")*(RASTREABILIDADE!$F$2:$F$2000=""Sim"")*REGEXMATCH(RASTREABILIDADE!$E$2:$E$2000,""(^|[^A-Za-z0-9])""&amp;$B84&amp;""($|[^A-Za-z0-9])"")*(((RESUMO!$B$5=""Todas"")+(RASTREABILIDADE!$C$2:$C$2000=RE"&amp;"SUMO!$B$5))&gt;0)*(((RESUMO!$B$6=""Todas"")+(RASTREABILIDADE!$B$2:$B$2000=RESUMO!$B$6))&gt;0))&gt;0,1,0))"),"")</f>
        <v/>
      </c>
      <c r="H84" s="47" t="str">
        <f>IF(OR($C84="",$D84&lt;&gt;"Sim"),"",IF(COUNTIFS(RASTREABILIDADE!$A:$A,"C0",RASTREABILIDADE!$G:$G,$C84,RASTREABILIDADE!$H:$H,"Sim",RASTREABILIDADE!$C:$C,IF(RESUMO!$B$5="Todas","&lt;&gt;",RESUMO!$B$5),RASTREABILIDADE!$B:$B,IF(RESUMO!$B$6="Todas","&lt;&gt;",RESUMO!$B$6))&gt;0,1,0))</f>
        <v/>
      </c>
      <c r="I84" s="47" t="str">
        <f>IF(OR($C84="",$D84&lt;&gt;"Sim"),"",IF(COUNTIFS(RASTREABILIDADE!$A:$A,"C1",RASTREABILIDADE!$G:$G,$C84,RASTREABILIDADE!$H:$H,"Sim",RASTREABILIDADE!$C:$C,IF(RESUMO!$B$5="Todas","&lt;&gt;",RESUMO!$B$5),RASTREABILIDADE!$B:$B,IF(RESUMO!$B$6="Todas","&lt;&gt;",RESUMO!$B$6))&gt;0,1,0))</f>
        <v/>
      </c>
      <c r="J84" s="47" t="str">
        <f>IF(OR($C84="",$D84&lt;&gt;"Sim"),"",IF(COUNTIFS(RASTREABILIDADE!$A:$A,"C2",RASTREABILIDADE!$G:$G,$C84,RASTREABILIDADE!$H:$H,"Sim",RASTREABILIDADE!$C:$C,IF(RESUMO!$B$5="Todas","&lt;&gt;",RESUMO!$B$5),RASTREABILIDADE!$B:$B,IF(RESUMO!$B$6="Todas","&lt;&gt;",RESUMO!$B$6))&gt;0,1,0))</f>
        <v/>
      </c>
    </row>
    <row r="85" ht="15.75" customHeight="1">
      <c r="A85" s="47">
        <v>85.0</v>
      </c>
      <c r="B85" s="47" t="str">
        <f>IF(GABARITO!$B86="","",IF(COUNTIF(GABARITO!$B$4:$B86,GABARITO!$B86)=1,GABARITO!$B86,""))</f>
        <v/>
      </c>
      <c r="C85" s="47" t="str">
        <f>IF(GABARITO!$G86="","",GABARITO!$G86)</f>
        <v/>
      </c>
      <c r="D85" s="47" t="str">
        <f>IF(GABARITO!$J86="","",GABARITO!$J86)</f>
        <v/>
      </c>
      <c r="E85" s="47" t="str">
        <f>IFERROR(__xludf.DUMMYFUNCTION("IF($B85="""","""",IF(SUMPRODUCT((RASTREABILIDADE!$A$2:$A$2000=""C0"")*(RASTREABILIDADE!$F$2:$F$2000=""Sim"")*REGEXMATCH(RASTREABILIDADE!$E$2:$E$2000,""(^|[^A-Za-z0-9])""&amp;$B85&amp;""($|[^A-Za-z0-9])"")*(((RESUMO!$B$5=""Todas"")+(RASTREABILIDADE!$C$2:$C$2000=RE"&amp;"SUMO!$B$5))&gt;0)*(((RESUMO!$B$6=""Todas"")+(RASTREABILIDADE!$B$2:$B$2000=RESUMO!$B$6))&gt;0))&gt;0,1,0))"),"")</f>
        <v/>
      </c>
      <c r="F85" s="47" t="str">
        <f>IFERROR(__xludf.DUMMYFUNCTION("IF($B85="""","""",IF(SUMPRODUCT((RASTREABILIDADE!$A$2:$A$2000=""C1"")*(RASTREABILIDADE!$F$2:$F$2000=""Sim"")*REGEXMATCH(RASTREABILIDADE!$E$2:$E$2000,""(^|[^A-Za-z0-9])""&amp;$B85&amp;""($|[^A-Za-z0-9])"")*(((RESUMO!$B$5=""Todas"")+(RASTREABILIDADE!$C$2:$C$2000=RE"&amp;"SUMO!$B$5))&gt;0)*(((RESUMO!$B$6=""Todas"")+(RASTREABILIDADE!$B$2:$B$2000=RESUMO!$B$6))&gt;0))&gt;0,1,0))"),"")</f>
        <v/>
      </c>
      <c r="G85" s="47" t="str">
        <f>IFERROR(__xludf.DUMMYFUNCTION("IF($B85="""","""",IF(SUMPRODUCT((RASTREABILIDADE!$A$2:$A$2000=""C2"")*(RASTREABILIDADE!$F$2:$F$2000=""Sim"")*REGEXMATCH(RASTREABILIDADE!$E$2:$E$2000,""(^|[^A-Za-z0-9])""&amp;$B85&amp;""($|[^A-Za-z0-9])"")*(((RESUMO!$B$5=""Todas"")+(RASTREABILIDADE!$C$2:$C$2000=RE"&amp;"SUMO!$B$5))&gt;0)*(((RESUMO!$B$6=""Todas"")+(RASTREABILIDADE!$B$2:$B$2000=RESUMO!$B$6))&gt;0))&gt;0,1,0))"),"")</f>
        <v/>
      </c>
      <c r="H85" s="47" t="str">
        <f>IF(OR($C85="",$D85&lt;&gt;"Sim"),"",IF(COUNTIFS(RASTREABILIDADE!$A:$A,"C0",RASTREABILIDADE!$G:$G,$C85,RASTREABILIDADE!$H:$H,"Sim",RASTREABILIDADE!$C:$C,IF(RESUMO!$B$5="Todas","&lt;&gt;",RESUMO!$B$5),RASTREABILIDADE!$B:$B,IF(RESUMO!$B$6="Todas","&lt;&gt;",RESUMO!$B$6))&gt;0,1,0))</f>
        <v/>
      </c>
      <c r="I85" s="47" t="str">
        <f>IF(OR($C85="",$D85&lt;&gt;"Sim"),"",IF(COUNTIFS(RASTREABILIDADE!$A:$A,"C1",RASTREABILIDADE!$G:$G,$C85,RASTREABILIDADE!$H:$H,"Sim",RASTREABILIDADE!$C:$C,IF(RESUMO!$B$5="Todas","&lt;&gt;",RESUMO!$B$5),RASTREABILIDADE!$B:$B,IF(RESUMO!$B$6="Todas","&lt;&gt;",RESUMO!$B$6))&gt;0,1,0))</f>
        <v/>
      </c>
      <c r="J85" s="47" t="str">
        <f>IF(OR($C85="",$D85&lt;&gt;"Sim"),"",IF(COUNTIFS(RASTREABILIDADE!$A:$A,"C2",RASTREABILIDADE!$G:$G,$C85,RASTREABILIDADE!$H:$H,"Sim",RASTREABILIDADE!$C:$C,IF(RESUMO!$B$5="Todas","&lt;&gt;",RESUMO!$B$5),RASTREABILIDADE!$B:$B,IF(RESUMO!$B$6="Todas","&lt;&gt;",RESUMO!$B$6))&gt;0,1,0))</f>
        <v/>
      </c>
    </row>
    <row r="86" ht="15.75" customHeight="1">
      <c r="A86" s="47">
        <v>86.0</v>
      </c>
      <c r="B86" s="47" t="str">
        <f>IF(GABARITO!$B87="","",IF(COUNTIF(GABARITO!$B$4:$B87,GABARITO!$B87)=1,GABARITO!$B87,""))</f>
        <v/>
      </c>
      <c r="C86" s="47" t="str">
        <f>IF(GABARITO!$G87="","",GABARITO!$G87)</f>
        <v/>
      </c>
      <c r="D86" s="47" t="str">
        <f>IF(GABARITO!$J87="","",GABARITO!$J87)</f>
        <v/>
      </c>
      <c r="E86" s="47" t="str">
        <f>IFERROR(__xludf.DUMMYFUNCTION("IF($B86="""","""",IF(SUMPRODUCT((RASTREABILIDADE!$A$2:$A$2000=""C0"")*(RASTREABILIDADE!$F$2:$F$2000=""Sim"")*REGEXMATCH(RASTREABILIDADE!$E$2:$E$2000,""(^|[^A-Za-z0-9])""&amp;$B86&amp;""($|[^A-Za-z0-9])"")*(((RESUMO!$B$5=""Todas"")+(RASTREABILIDADE!$C$2:$C$2000=RE"&amp;"SUMO!$B$5))&gt;0)*(((RESUMO!$B$6=""Todas"")+(RASTREABILIDADE!$B$2:$B$2000=RESUMO!$B$6))&gt;0))&gt;0,1,0))"),"")</f>
        <v/>
      </c>
      <c r="F86" s="47" t="str">
        <f>IFERROR(__xludf.DUMMYFUNCTION("IF($B86="""","""",IF(SUMPRODUCT((RASTREABILIDADE!$A$2:$A$2000=""C1"")*(RASTREABILIDADE!$F$2:$F$2000=""Sim"")*REGEXMATCH(RASTREABILIDADE!$E$2:$E$2000,""(^|[^A-Za-z0-9])""&amp;$B86&amp;""($|[^A-Za-z0-9])"")*(((RESUMO!$B$5=""Todas"")+(RASTREABILIDADE!$C$2:$C$2000=RE"&amp;"SUMO!$B$5))&gt;0)*(((RESUMO!$B$6=""Todas"")+(RASTREABILIDADE!$B$2:$B$2000=RESUMO!$B$6))&gt;0))&gt;0,1,0))"),"")</f>
        <v/>
      </c>
      <c r="G86" s="47" t="str">
        <f>IFERROR(__xludf.DUMMYFUNCTION("IF($B86="""","""",IF(SUMPRODUCT((RASTREABILIDADE!$A$2:$A$2000=""C2"")*(RASTREABILIDADE!$F$2:$F$2000=""Sim"")*REGEXMATCH(RASTREABILIDADE!$E$2:$E$2000,""(^|[^A-Za-z0-9])""&amp;$B86&amp;""($|[^A-Za-z0-9])"")*(((RESUMO!$B$5=""Todas"")+(RASTREABILIDADE!$C$2:$C$2000=RE"&amp;"SUMO!$B$5))&gt;0)*(((RESUMO!$B$6=""Todas"")+(RASTREABILIDADE!$B$2:$B$2000=RESUMO!$B$6))&gt;0))&gt;0,1,0))"),"")</f>
        <v/>
      </c>
      <c r="H86" s="47" t="str">
        <f>IF(OR($C86="",$D86&lt;&gt;"Sim"),"",IF(COUNTIFS(RASTREABILIDADE!$A:$A,"C0",RASTREABILIDADE!$G:$G,$C86,RASTREABILIDADE!$H:$H,"Sim",RASTREABILIDADE!$C:$C,IF(RESUMO!$B$5="Todas","&lt;&gt;",RESUMO!$B$5),RASTREABILIDADE!$B:$B,IF(RESUMO!$B$6="Todas","&lt;&gt;",RESUMO!$B$6))&gt;0,1,0))</f>
        <v/>
      </c>
      <c r="I86" s="47" t="str">
        <f>IF(OR($C86="",$D86&lt;&gt;"Sim"),"",IF(COUNTIFS(RASTREABILIDADE!$A:$A,"C1",RASTREABILIDADE!$G:$G,$C86,RASTREABILIDADE!$H:$H,"Sim",RASTREABILIDADE!$C:$C,IF(RESUMO!$B$5="Todas","&lt;&gt;",RESUMO!$B$5),RASTREABILIDADE!$B:$B,IF(RESUMO!$B$6="Todas","&lt;&gt;",RESUMO!$B$6))&gt;0,1,0))</f>
        <v/>
      </c>
      <c r="J86" s="47" t="str">
        <f>IF(OR($C86="",$D86&lt;&gt;"Sim"),"",IF(COUNTIFS(RASTREABILIDADE!$A:$A,"C2",RASTREABILIDADE!$G:$G,$C86,RASTREABILIDADE!$H:$H,"Sim",RASTREABILIDADE!$C:$C,IF(RESUMO!$B$5="Todas","&lt;&gt;",RESUMO!$B$5),RASTREABILIDADE!$B:$B,IF(RESUMO!$B$6="Todas","&lt;&gt;",RESUMO!$B$6))&gt;0,1,0))</f>
        <v/>
      </c>
    </row>
    <row r="87" ht="15.75" customHeight="1">
      <c r="A87" s="47">
        <v>87.0</v>
      </c>
      <c r="B87" s="47" t="str">
        <f>IF(GABARITO!$B88="","",IF(COUNTIF(GABARITO!$B$4:$B88,GABARITO!$B88)=1,GABARITO!$B88,""))</f>
        <v/>
      </c>
      <c r="C87" s="47" t="str">
        <f>IF(GABARITO!$G88="","",GABARITO!$G88)</f>
        <v/>
      </c>
      <c r="D87" s="47" t="str">
        <f>IF(GABARITO!$J88="","",GABARITO!$J88)</f>
        <v/>
      </c>
      <c r="E87" s="47" t="str">
        <f>IFERROR(__xludf.DUMMYFUNCTION("IF($B87="""","""",IF(SUMPRODUCT((RASTREABILIDADE!$A$2:$A$2000=""C0"")*(RASTREABILIDADE!$F$2:$F$2000=""Sim"")*REGEXMATCH(RASTREABILIDADE!$E$2:$E$2000,""(^|[^A-Za-z0-9])""&amp;$B87&amp;""($|[^A-Za-z0-9])"")*(((RESUMO!$B$5=""Todas"")+(RASTREABILIDADE!$C$2:$C$2000=RE"&amp;"SUMO!$B$5))&gt;0)*(((RESUMO!$B$6=""Todas"")+(RASTREABILIDADE!$B$2:$B$2000=RESUMO!$B$6))&gt;0))&gt;0,1,0))"),"")</f>
        <v/>
      </c>
      <c r="F87" s="47" t="str">
        <f>IFERROR(__xludf.DUMMYFUNCTION("IF($B87="""","""",IF(SUMPRODUCT((RASTREABILIDADE!$A$2:$A$2000=""C1"")*(RASTREABILIDADE!$F$2:$F$2000=""Sim"")*REGEXMATCH(RASTREABILIDADE!$E$2:$E$2000,""(^|[^A-Za-z0-9])""&amp;$B87&amp;""($|[^A-Za-z0-9])"")*(((RESUMO!$B$5=""Todas"")+(RASTREABILIDADE!$C$2:$C$2000=RE"&amp;"SUMO!$B$5))&gt;0)*(((RESUMO!$B$6=""Todas"")+(RASTREABILIDADE!$B$2:$B$2000=RESUMO!$B$6))&gt;0))&gt;0,1,0))"),"")</f>
        <v/>
      </c>
      <c r="G87" s="47" t="str">
        <f>IFERROR(__xludf.DUMMYFUNCTION("IF($B87="""","""",IF(SUMPRODUCT((RASTREABILIDADE!$A$2:$A$2000=""C2"")*(RASTREABILIDADE!$F$2:$F$2000=""Sim"")*REGEXMATCH(RASTREABILIDADE!$E$2:$E$2000,""(^|[^A-Za-z0-9])""&amp;$B87&amp;""($|[^A-Za-z0-9])"")*(((RESUMO!$B$5=""Todas"")+(RASTREABILIDADE!$C$2:$C$2000=RE"&amp;"SUMO!$B$5))&gt;0)*(((RESUMO!$B$6=""Todas"")+(RASTREABILIDADE!$B$2:$B$2000=RESUMO!$B$6))&gt;0))&gt;0,1,0))"),"")</f>
        <v/>
      </c>
      <c r="H87" s="47" t="str">
        <f>IF(OR($C87="",$D87&lt;&gt;"Sim"),"",IF(COUNTIFS(RASTREABILIDADE!$A:$A,"C0",RASTREABILIDADE!$G:$G,$C87,RASTREABILIDADE!$H:$H,"Sim",RASTREABILIDADE!$C:$C,IF(RESUMO!$B$5="Todas","&lt;&gt;",RESUMO!$B$5),RASTREABILIDADE!$B:$B,IF(RESUMO!$B$6="Todas","&lt;&gt;",RESUMO!$B$6))&gt;0,1,0))</f>
        <v/>
      </c>
      <c r="I87" s="47" t="str">
        <f>IF(OR($C87="",$D87&lt;&gt;"Sim"),"",IF(COUNTIFS(RASTREABILIDADE!$A:$A,"C1",RASTREABILIDADE!$G:$G,$C87,RASTREABILIDADE!$H:$H,"Sim",RASTREABILIDADE!$C:$C,IF(RESUMO!$B$5="Todas","&lt;&gt;",RESUMO!$B$5),RASTREABILIDADE!$B:$B,IF(RESUMO!$B$6="Todas","&lt;&gt;",RESUMO!$B$6))&gt;0,1,0))</f>
        <v/>
      </c>
      <c r="J87" s="47" t="str">
        <f>IF(OR($C87="",$D87&lt;&gt;"Sim"),"",IF(COUNTIFS(RASTREABILIDADE!$A:$A,"C2",RASTREABILIDADE!$G:$G,$C87,RASTREABILIDADE!$H:$H,"Sim",RASTREABILIDADE!$C:$C,IF(RESUMO!$B$5="Todas","&lt;&gt;",RESUMO!$B$5),RASTREABILIDADE!$B:$B,IF(RESUMO!$B$6="Todas","&lt;&gt;",RESUMO!$B$6))&gt;0,1,0))</f>
        <v/>
      </c>
    </row>
    <row r="88" ht="15.75" customHeight="1">
      <c r="A88" s="47">
        <v>88.0</v>
      </c>
      <c r="B88" s="47" t="str">
        <f>IF(GABARITO!$B89="","",IF(COUNTIF(GABARITO!$B$4:$B89,GABARITO!$B89)=1,GABARITO!$B89,""))</f>
        <v/>
      </c>
      <c r="C88" s="47" t="str">
        <f>IF(GABARITO!$G89="","",GABARITO!$G89)</f>
        <v/>
      </c>
      <c r="D88" s="47" t="str">
        <f>IF(GABARITO!$J89="","",GABARITO!$J89)</f>
        <v/>
      </c>
      <c r="E88" s="47" t="str">
        <f>IFERROR(__xludf.DUMMYFUNCTION("IF($B88="""","""",IF(SUMPRODUCT((RASTREABILIDADE!$A$2:$A$2000=""C0"")*(RASTREABILIDADE!$F$2:$F$2000=""Sim"")*REGEXMATCH(RASTREABILIDADE!$E$2:$E$2000,""(^|[^A-Za-z0-9])""&amp;$B88&amp;""($|[^A-Za-z0-9])"")*(((RESUMO!$B$5=""Todas"")+(RASTREABILIDADE!$C$2:$C$2000=RE"&amp;"SUMO!$B$5))&gt;0)*(((RESUMO!$B$6=""Todas"")+(RASTREABILIDADE!$B$2:$B$2000=RESUMO!$B$6))&gt;0))&gt;0,1,0))"),"")</f>
        <v/>
      </c>
      <c r="F88" s="47" t="str">
        <f>IFERROR(__xludf.DUMMYFUNCTION("IF($B88="""","""",IF(SUMPRODUCT((RASTREABILIDADE!$A$2:$A$2000=""C1"")*(RASTREABILIDADE!$F$2:$F$2000=""Sim"")*REGEXMATCH(RASTREABILIDADE!$E$2:$E$2000,""(^|[^A-Za-z0-9])""&amp;$B88&amp;""($|[^A-Za-z0-9])"")*(((RESUMO!$B$5=""Todas"")+(RASTREABILIDADE!$C$2:$C$2000=RE"&amp;"SUMO!$B$5))&gt;0)*(((RESUMO!$B$6=""Todas"")+(RASTREABILIDADE!$B$2:$B$2000=RESUMO!$B$6))&gt;0))&gt;0,1,0))"),"")</f>
        <v/>
      </c>
      <c r="G88" s="47" t="str">
        <f>IFERROR(__xludf.DUMMYFUNCTION("IF($B88="""","""",IF(SUMPRODUCT((RASTREABILIDADE!$A$2:$A$2000=""C2"")*(RASTREABILIDADE!$F$2:$F$2000=""Sim"")*REGEXMATCH(RASTREABILIDADE!$E$2:$E$2000,""(^|[^A-Za-z0-9])""&amp;$B88&amp;""($|[^A-Za-z0-9])"")*(((RESUMO!$B$5=""Todas"")+(RASTREABILIDADE!$C$2:$C$2000=RE"&amp;"SUMO!$B$5))&gt;0)*(((RESUMO!$B$6=""Todas"")+(RASTREABILIDADE!$B$2:$B$2000=RESUMO!$B$6))&gt;0))&gt;0,1,0))"),"")</f>
        <v/>
      </c>
      <c r="H88" s="47" t="str">
        <f>IF(OR($C88="",$D88&lt;&gt;"Sim"),"",IF(COUNTIFS(RASTREABILIDADE!$A:$A,"C0",RASTREABILIDADE!$G:$G,$C88,RASTREABILIDADE!$H:$H,"Sim",RASTREABILIDADE!$C:$C,IF(RESUMO!$B$5="Todas","&lt;&gt;",RESUMO!$B$5),RASTREABILIDADE!$B:$B,IF(RESUMO!$B$6="Todas","&lt;&gt;",RESUMO!$B$6))&gt;0,1,0))</f>
        <v/>
      </c>
      <c r="I88" s="47" t="str">
        <f>IF(OR($C88="",$D88&lt;&gt;"Sim"),"",IF(COUNTIFS(RASTREABILIDADE!$A:$A,"C1",RASTREABILIDADE!$G:$G,$C88,RASTREABILIDADE!$H:$H,"Sim",RASTREABILIDADE!$C:$C,IF(RESUMO!$B$5="Todas","&lt;&gt;",RESUMO!$B$5),RASTREABILIDADE!$B:$B,IF(RESUMO!$B$6="Todas","&lt;&gt;",RESUMO!$B$6))&gt;0,1,0))</f>
        <v/>
      </c>
      <c r="J88" s="47" t="str">
        <f>IF(OR($C88="",$D88&lt;&gt;"Sim"),"",IF(COUNTIFS(RASTREABILIDADE!$A:$A,"C2",RASTREABILIDADE!$G:$G,$C88,RASTREABILIDADE!$H:$H,"Sim",RASTREABILIDADE!$C:$C,IF(RESUMO!$B$5="Todas","&lt;&gt;",RESUMO!$B$5),RASTREABILIDADE!$B:$B,IF(RESUMO!$B$6="Todas","&lt;&gt;",RESUMO!$B$6))&gt;0,1,0))</f>
        <v/>
      </c>
    </row>
    <row r="89" ht="15.75" customHeight="1">
      <c r="A89" s="47">
        <v>89.0</v>
      </c>
      <c r="B89" s="47" t="str">
        <f>IF(GABARITO!$B90="","",IF(COUNTIF(GABARITO!$B$4:$B90,GABARITO!$B90)=1,GABARITO!$B90,""))</f>
        <v/>
      </c>
      <c r="C89" s="47" t="str">
        <f>IF(GABARITO!$G90="","",GABARITO!$G90)</f>
        <v/>
      </c>
      <c r="D89" s="47" t="str">
        <f>IF(GABARITO!$J90="","",GABARITO!$J90)</f>
        <v/>
      </c>
      <c r="E89" s="47" t="str">
        <f>IFERROR(__xludf.DUMMYFUNCTION("IF($B89="""","""",IF(SUMPRODUCT((RASTREABILIDADE!$A$2:$A$2000=""C0"")*(RASTREABILIDADE!$F$2:$F$2000=""Sim"")*REGEXMATCH(RASTREABILIDADE!$E$2:$E$2000,""(^|[^A-Za-z0-9])""&amp;$B89&amp;""($|[^A-Za-z0-9])"")*(((RESUMO!$B$5=""Todas"")+(RASTREABILIDADE!$C$2:$C$2000=RE"&amp;"SUMO!$B$5))&gt;0)*(((RESUMO!$B$6=""Todas"")+(RASTREABILIDADE!$B$2:$B$2000=RESUMO!$B$6))&gt;0))&gt;0,1,0))"),"")</f>
        <v/>
      </c>
      <c r="F89" s="47" t="str">
        <f>IFERROR(__xludf.DUMMYFUNCTION("IF($B89="""","""",IF(SUMPRODUCT((RASTREABILIDADE!$A$2:$A$2000=""C1"")*(RASTREABILIDADE!$F$2:$F$2000=""Sim"")*REGEXMATCH(RASTREABILIDADE!$E$2:$E$2000,""(^|[^A-Za-z0-9])""&amp;$B89&amp;""($|[^A-Za-z0-9])"")*(((RESUMO!$B$5=""Todas"")+(RASTREABILIDADE!$C$2:$C$2000=RE"&amp;"SUMO!$B$5))&gt;0)*(((RESUMO!$B$6=""Todas"")+(RASTREABILIDADE!$B$2:$B$2000=RESUMO!$B$6))&gt;0))&gt;0,1,0))"),"")</f>
        <v/>
      </c>
      <c r="G89" s="47" t="str">
        <f>IFERROR(__xludf.DUMMYFUNCTION("IF($B89="""","""",IF(SUMPRODUCT((RASTREABILIDADE!$A$2:$A$2000=""C2"")*(RASTREABILIDADE!$F$2:$F$2000=""Sim"")*REGEXMATCH(RASTREABILIDADE!$E$2:$E$2000,""(^|[^A-Za-z0-9])""&amp;$B89&amp;""($|[^A-Za-z0-9])"")*(((RESUMO!$B$5=""Todas"")+(RASTREABILIDADE!$C$2:$C$2000=RE"&amp;"SUMO!$B$5))&gt;0)*(((RESUMO!$B$6=""Todas"")+(RASTREABILIDADE!$B$2:$B$2000=RESUMO!$B$6))&gt;0))&gt;0,1,0))"),"")</f>
        <v/>
      </c>
      <c r="H89" s="47" t="str">
        <f>IF(OR($C89="",$D89&lt;&gt;"Sim"),"",IF(COUNTIFS(RASTREABILIDADE!$A:$A,"C0",RASTREABILIDADE!$G:$G,$C89,RASTREABILIDADE!$H:$H,"Sim",RASTREABILIDADE!$C:$C,IF(RESUMO!$B$5="Todas","&lt;&gt;",RESUMO!$B$5),RASTREABILIDADE!$B:$B,IF(RESUMO!$B$6="Todas","&lt;&gt;",RESUMO!$B$6))&gt;0,1,0))</f>
        <v/>
      </c>
      <c r="I89" s="47" t="str">
        <f>IF(OR($C89="",$D89&lt;&gt;"Sim"),"",IF(COUNTIFS(RASTREABILIDADE!$A:$A,"C1",RASTREABILIDADE!$G:$G,$C89,RASTREABILIDADE!$H:$H,"Sim",RASTREABILIDADE!$C:$C,IF(RESUMO!$B$5="Todas","&lt;&gt;",RESUMO!$B$5),RASTREABILIDADE!$B:$B,IF(RESUMO!$B$6="Todas","&lt;&gt;",RESUMO!$B$6))&gt;0,1,0))</f>
        <v/>
      </c>
      <c r="J89" s="47" t="str">
        <f>IF(OR($C89="",$D89&lt;&gt;"Sim"),"",IF(COUNTIFS(RASTREABILIDADE!$A:$A,"C2",RASTREABILIDADE!$G:$G,$C89,RASTREABILIDADE!$H:$H,"Sim",RASTREABILIDADE!$C:$C,IF(RESUMO!$B$5="Todas","&lt;&gt;",RESUMO!$B$5),RASTREABILIDADE!$B:$B,IF(RESUMO!$B$6="Todas","&lt;&gt;",RESUMO!$B$6))&gt;0,1,0))</f>
        <v/>
      </c>
    </row>
    <row r="90" ht="15.75" customHeight="1">
      <c r="A90" s="47">
        <v>90.0</v>
      </c>
      <c r="B90" s="47" t="str">
        <f>IF(GABARITO!$B91="","",IF(COUNTIF(GABARITO!$B$4:$B91,GABARITO!$B91)=1,GABARITO!$B91,""))</f>
        <v/>
      </c>
      <c r="C90" s="47" t="str">
        <f>IF(GABARITO!$G91="","",GABARITO!$G91)</f>
        <v/>
      </c>
      <c r="D90" s="47" t="str">
        <f>IF(GABARITO!$J91="","",GABARITO!$J91)</f>
        <v/>
      </c>
      <c r="E90" s="47" t="str">
        <f>IFERROR(__xludf.DUMMYFUNCTION("IF($B90="""","""",IF(SUMPRODUCT((RASTREABILIDADE!$A$2:$A$2000=""C0"")*(RASTREABILIDADE!$F$2:$F$2000=""Sim"")*REGEXMATCH(RASTREABILIDADE!$E$2:$E$2000,""(^|[^A-Za-z0-9])""&amp;$B90&amp;""($|[^A-Za-z0-9])"")*(((RESUMO!$B$5=""Todas"")+(RASTREABILIDADE!$C$2:$C$2000=RE"&amp;"SUMO!$B$5))&gt;0)*(((RESUMO!$B$6=""Todas"")+(RASTREABILIDADE!$B$2:$B$2000=RESUMO!$B$6))&gt;0))&gt;0,1,0))"),"")</f>
        <v/>
      </c>
      <c r="F90" s="47" t="str">
        <f>IFERROR(__xludf.DUMMYFUNCTION("IF($B90="""","""",IF(SUMPRODUCT((RASTREABILIDADE!$A$2:$A$2000=""C1"")*(RASTREABILIDADE!$F$2:$F$2000=""Sim"")*REGEXMATCH(RASTREABILIDADE!$E$2:$E$2000,""(^|[^A-Za-z0-9])""&amp;$B90&amp;""($|[^A-Za-z0-9])"")*(((RESUMO!$B$5=""Todas"")+(RASTREABILIDADE!$C$2:$C$2000=RE"&amp;"SUMO!$B$5))&gt;0)*(((RESUMO!$B$6=""Todas"")+(RASTREABILIDADE!$B$2:$B$2000=RESUMO!$B$6))&gt;0))&gt;0,1,0))"),"")</f>
        <v/>
      </c>
      <c r="G90" s="47" t="str">
        <f>IFERROR(__xludf.DUMMYFUNCTION("IF($B90="""","""",IF(SUMPRODUCT((RASTREABILIDADE!$A$2:$A$2000=""C2"")*(RASTREABILIDADE!$F$2:$F$2000=""Sim"")*REGEXMATCH(RASTREABILIDADE!$E$2:$E$2000,""(^|[^A-Za-z0-9])""&amp;$B90&amp;""($|[^A-Za-z0-9])"")*(((RESUMO!$B$5=""Todas"")+(RASTREABILIDADE!$C$2:$C$2000=RE"&amp;"SUMO!$B$5))&gt;0)*(((RESUMO!$B$6=""Todas"")+(RASTREABILIDADE!$B$2:$B$2000=RESUMO!$B$6))&gt;0))&gt;0,1,0))"),"")</f>
        <v/>
      </c>
      <c r="H90" s="47" t="str">
        <f>IF(OR($C90="",$D90&lt;&gt;"Sim"),"",IF(COUNTIFS(RASTREABILIDADE!$A:$A,"C0",RASTREABILIDADE!$G:$G,$C90,RASTREABILIDADE!$H:$H,"Sim",RASTREABILIDADE!$C:$C,IF(RESUMO!$B$5="Todas","&lt;&gt;",RESUMO!$B$5),RASTREABILIDADE!$B:$B,IF(RESUMO!$B$6="Todas","&lt;&gt;",RESUMO!$B$6))&gt;0,1,0))</f>
        <v/>
      </c>
      <c r="I90" s="47" t="str">
        <f>IF(OR($C90="",$D90&lt;&gt;"Sim"),"",IF(COUNTIFS(RASTREABILIDADE!$A:$A,"C1",RASTREABILIDADE!$G:$G,$C90,RASTREABILIDADE!$H:$H,"Sim",RASTREABILIDADE!$C:$C,IF(RESUMO!$B$5="Todas","&lt;&gt;",RESUMO!$B$5),RASTREABILIDADE!$B:$B,IF(RESUMO!$B$6="Todas","&lt;&gt;",RESUMO!$B$6))&gt;0,1,0))</f>
        <v/>
      </c>
      <c r="J90" s="47" t="str">
        <f>IF(OR($C90="",$D90&lt;&gt;"Sim"),"",IF(COUNTIFS(RASTREABILIDADE!$A:$A,"C2",RASTREABILIDADE!$G:$G,$C90,RASTREABILIDADE!$H:$H,"Sim",RASTREABILIDADE!$C:$C,IF(RESUMO!$B$5="Todas","&lt;&gt;",RESUMO!$B$5),RASTREABILIDADE!$B:$B,IF(RESUMO!$B$6="Todas","&lt;&gt;",RESUMO!$B$6))&gt;0,1,0))</f>
        <v/>
      </c>
    </row>
    <row r="91" ht="15.75" customHeight="1">
      <c r="A91" s="47">
        <v>91.0</v>
      </c>
      <c r="B91" s="47" t="str">
        <f>IF(GABARITO!$B92="","",IF(COUNTIF(GABARITO!$B$4:$B92,GABARITO!$B92)=1,GABARITO!$B92,""))</f>
        <v/>
      </c>
      <c r="C91" s="47" t="str">
        <f>IF(GABARITO!$G92="","",GABARITO!$G92)</f>
        <v/>
      </c>
      <c r="D91" s="47" t="str">
        <f>IF(GABARITO!$J92="","",GABARITO!$J92)</f>
        <v/>
      </c>
      <c r="E91" s="47" t="str">
        <f>IFERROR(__xludf.DUMMYFUNCTION("IF($B91="""","""",IF(SUMPRODUCT((RASTREABILIDADE!$A$2:$A$2000=""C0"")*(RASTREABILIDADE!$F$2:$F$2000=""Sim"")*REGEXMATCH(RASTREABILIDADE!$E$2:$E$2000,""(^|[^A-Za-z0-9])""&amp;$B91&amp;""($|[^A-Za-z0-9])"")*(((RESUMO!$B$5=""Todas"")+(RASTREABILIDADE!$C$2:$C$2000=RE"&amp;"SUMO!$B$5))&gt;0)*(((RESUMO!$B$6=""Todas"")+(RASTREABILIDADE!$B$2:$B$2000=RESUMO!$B$6))&gt;0))&gt;0,1,0))"),"")</f>
        <v/>
      </c>
      <c r="F91" s="47" t="str">
        <f>IFERROR(__xludf.DUMMYFUNCTION("IF($B91="""","""",IF(SUMPRODUCT((RASTREABILIDADE!$A$2:$A$2000=""C1"")*(RASTREABILIDADE!$F$2:$F$2000=""Sim"")*REGEXMATCH(RASTREABILIDADE!$E$2:$E$2000,""(^|[^A-Za-z0-9])""&amp;$B91&amp;""($|[^A-Za-z0-9])"")*(((RESUMO!$B$5=""Todas"")+(RASTREABILIDADE!$C$2:$C$2000=RE"&amp;"SUMO!$B$5))&gt;0)*(((RESUMO!$B$6=""Todas"")+(RASTREABILIDADE!$B$2:$B$2000=RESUMO!$B$6))&gt;0))&gt;0,1,0))"),"")</f>
        <v/>
      </c>
      <c r="G91" s="47" t="str">
        <f>IFERROR(__xludf.DUMMYFUNCTION("IF($B91="""","""",IF(SUMPRODUCT((RASTREABILIDADE!$A$2:$A$2000=""C2"")*(RASTREABILIDADE!$F$2:$F$2000=""Sim"")*REGEXMATCH(RASTREABILIDADE!$E$2:$E$2000,""(^|[^A-Za-z0-9])""&amp;$B91&amp;""($|[^A-Za-z0-9])"")*(((RESUMO!$B$5=""Todas"")+(RASTREABILIDADE!$C$2:$C$2000=RE"&amp;"SUMO!$B$5))&gt;0)*(((RESUMO!$B$6=""Todas"")+(RASTREABILIDADE!$B$2:$B$2000=RESUMO!$B$6))&gt;0))&gt;0,1,0))"),"")</f>
        <v/>
      </c>
      <c r="H91" s="47" t="str">
        <f>IF(OR($C91="",$D91&lt;&gt;"Sim"),"",IF(COUNTIFS(RASTREABILIDADE!$A:$A,"C0",RASTREABILIDADE!$G:$G,$C91,RASTREABILIDADE!$H:$H,"Sim",RASTREABILIDADE!$C:$C,IF(RESUMO!$B$5="Todas","&lt;&gt;",RESUMO!$B$5),RASTREABILIDADE!$B:$B,IF(RESUMO!$B$6="Todas","&lt;&gt;",RESUMO!$B$6))&gt;0,1,0))</f>
        <v/>
      </c>
      <c r="I91" s="47" t="str">
        <f>IF(OR($C91="",$D91&lt;&gt;"Sim"),"",IF(COUNTIFS(RASTREABILIDADE!$A:$A,"C1",RASTREABILIDADE!$G:$G,$C91,RASTREABILIDADE!$H:$H,"Sim",RASTREABILIDADE!$C:$C,IF(RESUMO!$B$5="Todas","&lt;&gt;",RESUMO!$B$5),RASTREABILIDADE!$B:$B,IF(RESUMO!$B$6="Todas","&lt;&gt;",RESUMO!$B$6))&gt;0,1,0))</f>
        <v/>
      </c>
      <c r="J91" s="47" t="str">
        <f>IF(OR($C91="",$D91&lt;&gt;"Sim"),"",IF(COUNTIFS(RASTREABILIDADE!$A:$A,"C2",RASTREABILIDADE!$G:$G,$C91,RASTREABILIDADE!$H:$H,"Sim",RASTREABILIDADE!$C:$C,IF(RESUMO!$B$5="Todas","&lt;&gt;",RESUMO!$B$5),RASTREABILIDADE!$B:$B,IF(RESUMO!$B$6="Todas","&lt;&gt;",RESUMO!$B$6))&gt;0,1,0))</f>
        <v/>
      </c>
    </row>
    <row r="92" ht="15.75" customHeight="1">
      <c r="A92" s="47">
        <v>92.0</v>
      </c>
      <c r="B92" s="47" t="str">
        <f>IF(GABARITO!$B93="","",IF(COUNTIF(GABARITO!$B$4:$B93,GABARITO!$B93)=1,GABARITO!$B93,""))</f>
        <v/>
      </c>
      <c r="C92" s="47" t="str">
        <f>IF(GABARITO!$G93="","",GABARITO!$G93)</f>
        <v/>
      </c>
      <c r="D92" s="47" t="str">
        <f>IF(GABARITO!$J93="","",GABARITO!$J93)</f>
        <v/>
      </c>
      <c r="E92" s="47" t="str">
        <f>IFERROR(__xludf.DUMMYFUNCTION("IF($B92="""","""",IF(SUMPRODUCT((RASTREABILIDADE!$A$2:$A$2000=""C0"")*(RASTREABILIDADE!$F$2:$F$2000=""Sim"")*REGEXMATCH(RASTREABILIDADE!$E$2:$E$2000,""(^|[^A-Za-z0-9])""&amp;$B92&amp;""($|[^A-Za-z0-9])"")*(((RESUMO!$B$5=""Todas"")+(RASTREABILIDADE!$C$2:$C$2000=RE"&amp;"SUMO!$B$5))&gt;0)*(((RESUMO!$B$6=""Todas"")+(RASTREABILIDADE!$B$2:$B$2000=RESUMO!$B$6))&gt;0))&gt;0,1,0))"),"")</f>
        <v/>
      </c>
      <c r="F92" s="47" t="str">
        <f>IFERROR(__xludf.DUMMYFUNCTION("IF($B92="""","""",IF(SUMPRODUCT((RASTREABILIDADE!$A$2:$A$2000=""C1"")*(RASTREABILIDADE!$F$2:$F$2000=""Sim"")*REGEXMATCH(RASTREABILIDADE!$E$2:$E$2000,""(^|[^A-Za-z0-9])""&amp;$B92&amp;""($|[^A-Za-z0-9])"")*(((RESUMO!$B$5=""Todas"")+(RASTREABILIDADE!$C$2:$C$2000=RE"&amp;"SUMO!$B$5))&gt;0)*(((RESUMO!$B$6=""Todas"")+(RASTREABILIDADE!$B$2:$B$2000=RESUMO!$B$6))&gt;0))&gt;0,1,0))"),"")</f>
        <v/>
      </c>
      <c r="G92" s="47" t="str">
        <f>IFERROR(__xludf.DUMMYFUNCTION("IF($B92="""","""",IF(SUMPRODUCT((RASTREABILIDADE!$A$2:$A$2000=""C2"")*(RASTREABILIDADE!$F$2:$F$2000=""Sim"")*REGEXMATCH(RASTREABILIDADE!$E$2:$E$2000,""(^|[^A-Za-z0-9])""&amp;$B92&amp;""($|[^A-Za-z0-9])"")*(((RESUMO!$B$5=""Todas"")+(RASTREABILIDADE!$C$2:$C$2000=RE"&amp;"SUMO!$B$5))&gt;0)*(((RESUMO!$B$6=""Todas"")+(RASTREABILIDADE!$B$2:$B$2000=RESUMO!$B$6))&gt;0))&gt;0,1,0))"),"")</f>
        <v/>
      </c>
      <c r="H92" s="47" t="str">
        <f>IF(OR($C92="",$D92&lt;&gt;"Sim"),"",IF(COUNTIFS(RASTREABILIDADE!$A:$A,"C0",RASTREABILIDADE!$G:$G,$C92,RASTREABILIDADE!$H:$H,"Sim",RASTREABILIDADE!$C:$C,IF(RESUMO!$B$5="Todas","&lt;&gt;",RESUMO!$B$5),RASTREABILIDADE!$B:$B,IF(RESUMO!$B$6="Todas","&lt;&gt;",RESUMO!$B$6))&gt;0,1,0))</f>
        <v/>
      </c>
      <c r="I92" s="47" t="str">
        <f>IF(OR($C92="",$D92&lt;&gt;"Sim"),"",IF(COUNTIFS(RASTREABILIDADE!$A:$A,"C1",RASTREABILIDADE!$G:$G,$C92,RASTREABILIDADE!$H:$H,"Sim",RASTREABILIDADE!$C:$C,IF(RESUMO!$B$5="Todas","&lt;&gt;",RESUMO!$B$5),RASTREABILIDADE!$B:$B,IF(RESUMO!$B$6="Todas","&lt;&gt;",RESUMO!$B$6))&gt;0,1,0))</f>
        <v/>
      </c>
      <c r="J92" s="47" t="str">
        <f>IF(OR($C92="",$D92&lt;&gt;"Sim"),"",IF(COUNTIFS(RASTREABILIDADE!$A:$A,"C2",RASTREABILIDADE!$G:$G,$C92,RASTREABILIDADE!$H:$H,"Sim",RASTREABILIDADE!$C:$C,IF(RESUMO!$B$5="Todas","&lt;&gt;",RESUMO!$B$5),RASTREABILIDADE!$B:$B,IF(RESUMO!$B$6="Todas","&lt;&gt;",RESUMO!$B$6))&gt;0,1,0))</f>
        <v/>
      </c>
    </row>
    <row r="93" ht="15.75" customHeight="1">
      <c r="A93" s="47">
        <v>93.0</v>
      </c>
      <c r="B93" s="47" t="str">
        <f>IF(GABARITO!$B94="","",IF(COUNTIF(GABARITO!$B$4:$B94,GABARITO!$B94)=1,GABARITO!$B94,""))</f>
        <v/>
      </c>
      <c r="C93" s="47" t="str">
        <f>IF(GABARITO!$G94="","",GABARITO!$G94)</f>
        <v/>
      </c>
      <c r="D93" s="47" t="str">
        <f>IF(GABARITO!$J94="","",GABARITO!$J94)</f>
        <v/>
      </c>
      <c r="E93" s="47" t="str">
        <f>IFERROR(__xludf.DUMMYFUNCTION("IF($B93="""","""",IF(SUMPRODUCT((RASTREABILIDADE!$A$2:$A$2000=""C0"")*(RASTREABILIDADE!$F$2:$F$2000=""Sim"")*REGEXMATCH(RASTREABILIDADE!$E$2:$E$2000,""(^|[^A-Za-z0-9])""&amp;$B93&amp;""($|[^A-Za-z0-9])"")*(((RESUMO!$B$5=""Todas"")+(RASTREABILIDADE!$C$2:$C$2000=RE"&amp;"SUMO!$B$5))&gt;0)*(((RESUMO!$B$6=""Todas"")+(RASTREABILIDADE!$B$2:$B$2000=RESUMO!$B$6))&gt;0))&gt;0,1,0))"),"")</f>
        <v/>
      </c>
      <c r="F93" s="47" t="str">
        <f>IFERROR(__xludf.DUMMYFUNCTION("IF($B93="""","""",IF(SUMPRODUCT((RASTREABILIDADE!$A$2:$A$2000=""C1"")*(RASTREABILIDADE!$F$2:$F$2000=""Sim"")*REGEXMATCH(RASTREABILIDADE!$E$2:$E$2000,""(^|[^A-Za-z0-9])""&amp;$B93&amp;""($|[^A-Za-z0-9])"")*(((RESUMO!$B$5=""Todas"")+(RASTREABILIDADE!$C$2:$C$2000=RE"&amp;"SUMO!$B$5))&gt;0)*(((RESUMO!$B$6=""Todas"")+(RASTREABILIDADE!$B$2:$B$2000=RESUMO!$B$6))&gt;0))&gt;0,1,0))"),"")</f>
        <v/>
      </c>
      <c r="G93" s="47" t="str">
        <f>IFERROR(__xludf.DUMMYFUNCTION("IF($B93="""","""",IF(SUMPRODUCT((RASTREABILIDADE!$A$2:$A$2000=""C2"")*(RASTREABILIDADE!$F$2:$F$2000=""Sim"")*REGEXMATCH(RASTREABILIDADE!$E$2:$E$2000,""(^|[^A-Za-z0-9])""&amp;$B93&amp;""($|[^A-Za-z0-9])"")*(((RESUMO!$B$5=""Todas"")+(RASTREABILIDADE!$C$2:$C$2000=RE"&amp;"SUMO!$B$5))&gt;0)*(((RESUMO!$B$6=""Todas"")+(RASTREABILIDADE!$B$2:$B$2000=RESUMO!$B$6))&gt;0))&gt;0,1,0))"),"")</f>
        <v/>
      </c>
      <c r="H93" s="47" t="str">
        <f>IF(OR($C93="",$D93&lt;&gt;"Sim"),"",IF(COUNTIFS(RASTREABILIDADE!$A:$A,"C0",RASTREABILIDADE!$G:$G,$C93,RASTREABILIDADE!$H:$H,"Sim",RASTREABILIDADE!$C:$C,IF(RESUMO!$B$5="Todas","&lt;&gt;",RESUMO!$B$5),RASTREABILIDADE!$B:$B,IF(RESUMO!$B$6="Todas","&lt;&gt;",RESUMO!$B$6))&gt;0,1,0))</f>
        <v/>
      </c>
      <c r="I93" s="47" t="str">
        <f>IF(OR($C93="",$D93&lt;&gt;"Sim"),"",IF(COUNTIFS(RASTREABILIDADE!$A:$A,"C1",RASTREABILIDADE!$G:$G,$C93,RASTREABILIDADE!$H:$H,"Sim",RASTREABILIDADE!$C:$C,IF(RESUMO!$B$5="Todas","&lt;&gt;",RESUMO!$B$5),RASTREABILIDADE!$B:$B,IF(RESUMO!$B$6="Todas","&lt;&gt;",RESUMO!$B$6))&gt;0,1,0))</f>
        <v/>
      </c>
      <c r="J93" s="47" t="str">
        <f>IF(OR($C93="",$D93&lt;&gt;"Sim"),"",IF(COUNTIFS(RASTREABILIDADE!$A:$A,"C2",RASTREABILIDADE!$G:$G,$C93,RASTREABILIDADE!$H:$H,"Sim",RASTREABILIDADE!$C:$C,IF(RESUMO!$B$5="Todas","&lt;&gt;",RESUMO!$B$5),RASTREABILIDADE!$B:$B,IF(RESUMO!$B$6="Todas","&lt;&gt;",RESUMO!$B$6))&gt;0,1,0))</f>
        <v/>
      </c>
    </row>
    <row r="94" ht="15.75" customHeight="1">
      <c r="A94" s="47">
        <v>94.0</v>
      </c>
      <c r="B94" s="47" t="str">
        <f>IF(GABARITO!$B95="","",IF(COUNTIF(GABARITO!$B$4:$B95,GABARITO!$B95)=1,GABARITO!$B95,""))</f>
        <v/>
      </c>
      <c r="C94" s="47" t="str">
        <f>IF(GABARITO!$G95="","",GABARITO!$G95)</f>
        <v/>
      </c>
      <c r="D94" s="47" t="str">
        <f>IF(GABARITO!$J95="","",GABARITO!$J95)</f>
        <v/>
      </c>
      <c r="E94" s="47" t="str">
        <f>IFERROR(__xludf.DUMMYFUNCTION("IF($B94="""","""",IF(SUMPRODUCT((RASTREABILIDADE!$A$2:$A$2000=""C0"")*(RASTREABILIDADE!$F$2:$F$2000=""Sim"")*REGEXMATCH(RASTREABILIDADE!$E$2:$E$2000,""(^|[^A-Za-z0-9])""&amp;$B94&amp;""($|[^A-Za-z0-9])"")*(((RESUMO!$B$5=""Todas"")+(RASTREABILIDADE!$C$2:$C$2000=RE"&amp;"SUMO!$B$5))&gt;0)*(((RESUMO!$B$6=""Todas"")+(RASTREABILIDADE!$B$2:$B$2000=RESUMO!$B$6))&gt;0))&gt;0,1,0))"),"")</f>
        <v/>
      </c>
      <c r="F94" s="47" t="str">
        <f>IFERROR(__xludf.DUMMYFUNCTION("IF($B94="""","""",IF(SUMPRODUCT((RASTREABILIDADE!$A$2:$A$2000=""C1"")*(RASTREABILIDADE!$F$2:$F$2000=""Sim"")*REGEXMATCH(RASTREABILIDADE!$E$2:$E$2000,""(^|[^A-Za-z0-9])""&amp;$B94&amp;""($|[^A-Za-z0-9])"")*(((RESUMO!$B$5=""Todas"")+(RASTREABILIDADE!$C$2:$C$2000=RE"&amp;"SUMO!$B$5))&gt;0)*(((RESUMO!$B$6=""Todas"")+(RASTREABILIDADE!$B$2:$B$2000=RESUMO!$B$6))&gt;0))&gt;0,1,0))"),"")</f>
        <v/>
      </c>
      <c r="G94" s="47" t="str">
        <f>IFERROR(__xludf.DUMMYFUNCTION("IF($B94="""","""",IF(SUMPRODUCT((RASTREABILIDADE!$A$2:$A$2000=""C2"")*(RASTREABILIDADE!$F$2:$F$2000=""Sim"")*REGEXMATCH(RASTREABILIDADE!$E$2:$E$2000,""(^|[^A-Za-z0-9])""&amp;$B94&amp;""($|[^A-Za-z0-9])"")*(((RESUMO!$B$5=""Todas"")+(RASTREABILIDADE!$C$2:$C$2000=RE"&amp;"SUMO!$B$5))&gt;0)*(((RESUMO!$B$6=""Todas"")+(RASTREABILIDADE!$B$2:$B$2000=RESUMO!$B$6))&gt;0))&gt;0,1,0))"),"")</f>
        <v/>
      </c>
      <c r="H94" s="47" t="str">
        <f>IF(OR($C94="",$D94&lt;&gt;"Sim"),"",IF(COUNTIFS(RASTREABILIDADE!$A:$A,"C0",RASTREABILIDADE!$G:$G,$C94,RASTREABILIDADE!$H:$H,"Sim",RASTREABILIDADE!$C:$C,IF(RESUMO!$B$5="Todas","&lt;&gt;",RESUMO!$B$5),RASTREABILIDADE!$B:$B,IF(RESUMO!$B$6="Todas","&lt;&gt;",RESUMO!$B$6))&gt;0,1,0))</f>
        <v/>
      </c>
      <c r="I94" s="47" t="str">
        <f>IF(OR($C94="",$D94&lt;&gt;"Sim"),"",IF(COUNTIFS(RASTREABILIDADE!$A:$A,"C1",RASTREABILIDADE!$G:$G,$C94,RASTREABILIDADE!$H:$H,"Sim",RASTREABILIDADE!$C:$C,IF(RESUMO!$B$5="Todas","&lt;&gt;",RESUMO!$B$5),RASTREABILIDADE!$B:$B,IF(RESUMO!$B$6="Todas","&lt;&gt;",RESUMO!$B$6))&gt;0,1,0))</f>
        <v/>
      </c>
      <c r="J94" s="47" t="str">
        <f>IF(OR($C94="",$D94&lt;&gt;"Sim"),"",IF(COUNTIFS(RASTREABILIDADE!$A:$A,"C2",RASTREABILIDADE!$G:$G,$C94,RASTREABILIDADE!$H:$H,"Sim",RASTREABILIDADE!$C:$C,IF(RESUMO!$B$5="Todas","&lt;&gt;",RESUMO!$B$5),RASTREABILIDADE!$B:$B,IF(RESUMO!$B$6="Todas","&lt;&gt;",RESUMO!$B$6))&gt;0,1,0))</f>
        <v/>
      </c>
    </row>
    <row r="95" ht="15.75" customHeight="1">
      <c r="A95" s="47">
        <v>95.0</v>
      </c>
      <c r="B95" s="47" t="str">
        <f>IF(GABARITO!$B96="","",IF(COUNTIF(GABARITO!$B$4:$B96,GABARITO!$B96)=1,GABARITO!$B96,""))</f>
        <v/>
      </c>
      <c r="C95" s="47" t="str">
        <f>IF(GABARITO!$G96="","",GABARITO!$G96)</f>
        <v/>
      </c>
      <c r="D95" s="47" t="str">
        <f>IF(GABARITO!$J96="","",GABARITO!$J96)</f>
        <v/>
      </c>
      <c r="E95" s="47" t="str">
        <f>IFERROR(__xludf.DUMMYFUNCTION("IF($B95="""","""",IF(SUMPRODUCT((RASTREABILIDADE!$A$2:$A$2000=""C0"")*(RASTREABILIDADE!$F$2:$F$2000=""Sim"")*REGEXMATCH(RASTREABILIDADE!$E$2:$E$2000,""(^|[^A-Za-z0-9])""&amp;$B95&amp;""($|[^A-Za-z0-9])"")*(((RESUMO!$B$5=""Todas"")+(RASTREABILIDADE!$C$2:$C$2000=RE"&amp;"SUMO!$B$5))&gt;0)*(((RESUMO!$B$6=""Todas"")+(RASTREABILIDADE!$B$2:$B$2000=RESUMO!$B$6))&gt;0))&gt;0,1,0))"),"")</f>
        <v/>
      </c>
      <c r="F95" s="47" t="str">
        <f>IFERROR(__xludf.DUMMYFUNCTION("IF($B95="""","""",IF(SUMPRODUCT((RASTREABILIDADE!$A$2:$A$2000=""C1"")*(RASTREABILIDADE!$F$2:$F$2000=""Sim"")*REGEXMATCH(RASTREABILIDADE!$E$2:$E$2000,""(^|[^A-Za-z0-9])""&amp;$B95&amp;""($|[^A-Za-z0-9])"")*(((RESUMO!$B$5=""Todas"")+(RASTREABILIDADE!$C$2:$C$2000=RE"&amp;"SUMO!$B$5))&gt;0)*(((RESUMO!$B$6=""Todas"")+(RASTREABILIDADE!$B$2:$B$2000=RESUMO!$B$6))&gt;0))&gt;0,1,0))"),"")</f>
        <v/>
      </c>
      <c r="G95" s="47" t="str">
        <f>IFERROR(__xludf.DUMMYFUNCTION("IF($B95="""","""",IF(SUMPRODUCT((RASTREABILIDADE!$A$2:$A$2000=""C2"")*(RASTREABILIDADE!$F$2:$F$2000=""Sim"")*REGEXMATCH(RASTREABILIDADE!$E$2:$E$2000,""(^|[^A-Za-z0-9])""&amp;$B95&amp;""($|[^A-Za-z0-9])"")*(((RESUMO!$B$5=""Todas"")+(RASTREABILIDADE!$C$2:$C$2000=RE"&amp;"SUMO!$B$5))&gt;0)*(((RESUMO!$B$6=""Todas"")+(RASTREABILIDADE!$B$2:$B$2000=RESUMO!$B$6))&gt;0))&gt;0,1,0))"),"")</f>
        <v/>
      </c>
      <c r="H95" s="47" t="str">
        <f>IF(OR($C95="",$D95&lt;&gt;"Sim"),"",IF(COUNTIFS(RASTREABILIDADE!$A:$A,"C0",RASTREABILIDADE!$G:$G,$C95,RASTREABILIDADE!$H:$H,"Sim",RASTREABILIDADE!$C:$C,IF(RESUMO!$B$5="Todas","&lt;&gt;",RESUMO!$B$5),RASTREABILIDADE!$B:$B,IF(RESUMO!$B$6="Todas","&lt;&gt;",RESUMO!$B$6))&gt;0,1,0))</f>
        <v/>
      </c>
      <c r="I95" s="47" t="str">
        <f>IF(OR($C95="",$D95&lt;&gt;"Sim"),"",IF(COUNTIFS(RASTREABILIDADE!$A:$A,"C1",RASTREABILIDADE!$G:$G,$C95,RASTREABILIDADE!$H:$H,"Sim",RASTREABILIDADE!$C:$C,IF(RESUMO!$B$5="Todas","&lt;&gt;",RESUMO!$B$5),RASTREABILIDADE!$B:$B,IF(RESUMO!$B$6="Todas","&lt;&gt;",RESUMO!$B$6))&gt;0,1,0))</f>
        <v/>
      </c>
      <c r="J95" s="47" t="str">
        <f>IF(OR($C95="",$D95&lt;&gt;"Sim"),"",IF(COUNTIFS(RASTREABILIDADE!$A:$A,"C2",RASTREABILIDADE!$G:$G,$C95,RASTREABILIDADE!$H:$H,"Sim",RASTREABILIDADE!$C:$C,IF(RESUMO!$B$5="Todas","&lt;&gt;",RESUMO!$B$5),RASTREABILIDADE!$B:$B,IF(RESUMO!$B$6="Todas","&lt;&gt;",RESUMO!$B$6))&gt;0,1,0))</f>
        <v/>
      </c>
    </row>
    <row r="96" ht="15.75" customHeight="1">
      <c r="A96" s="47">
        <v>96.0</v>
      </c>
      <c r="B96" s="47" t="str">
        <f>IF(GABARITO!$B97="","",IF(COUNTIF(GABARITO!$B$4:$B97,GABARITO!$B97)=1,GABARITO!$B97,""))</f>
        <v/>
      </c>
      <c r="C96" s="47" t="str">
        <f>IF(GABARITO!$G97="","",GABARITO!$G97)</f>
        <v/>
      </c>
      <c r="D96" s="47" t="str">
        <f>IF(GABARITO!$J97="","",GABARITO!$J97)</f>
        <v/>
      </c>
      <c r="E96" s="47" t="str">
        <f>IFERROR(__xludf.DUMMYFUNCTION("IF($B96="""","""",IF(SUMPRODUCT((RASTREABILIDADE!$A$2:$A$2000=""C0"")*(RASTREABILIDADE!$F$2:$F$2000=""Sim"")*REGEXMATCH(RASTREABILIDADE!$E$2:$E$2000,""(^|[^A-Za-z0-9])""&amp;$B96&amp;""($|[^A-Za-z0-9])"")*(((RESUMO!$B$5=""Todas"")+(RASTREABILIDADE!$C$2:$C$2000=RE"&amp;"SUMO!$B$5))&gt;0)*(((RESUMO!$B$6=""Todas"")+(RASTREABILIDADE!$B$2:$B$2000=RESUMO!$B$6))&gt;0))&gt;0,1,0))"),"")</f>
        <v/>
      </c>
      <c r="F96" s="47" t="str">
        <f>IFERROR(__xludf.DUMMYFUNCTION("IF($B96="""","""",IF(SUMPRODUCT((RASTREABILIDADE!$A$2:$A$2000=""C1"")*(RASTREABILIDADE!$F$2:$F$2000=""Sim"")*REGEXMATCH(RASTREABILIDADE!$E$2:$E$2000,""(^|[^A-Za-z0-9])""&amp;$B96&amp;""($|[^A-Za-z0-9])"")*(((RESUMO!$B$5=""Todas"")+(RASTREABILIDADE!$C$2:$C$2000=RE"&amp;"SUMO!$B$5))&gt;0)*(((RESUMO!$B$6=""Todas"")+(RASTREABILIDADE!$B$2:$B$2000=RESUMO!$B$6))&gt;0))&gt;0,1,0))"),"")</f>
        <v/>
      </c>
      <c r="G96" s="47" t="str">
        <f>IFERROR(__xludf.DUMMYFUNCTION("IF($B96="""","""",IF(SUMPRODUCT((RASTREABILIDADE!$A$2:$A$2000=""C2"")*(RASTREABILIDADE!$F$2:$F$2000=""Sim"")*REGEXMATCH(RASTREABILIDADE!$E$2:$E$2000,""(^|[^A-Za-z0-9])""&amp;$B96&amp;""($|[^A-Za-z0-9])"")*(((RESUMO!$B$5=""Todas"")+(RASTREABILIDADE!$C$2:$C$2000=RE"&amp;"SUMO!$B$5))&gt;0)*(((RESUMO!$B$6=""Todas"")+(RASTREABILIDADE!$B$2:$B$2000=RESUMO!$B$6))&gt;0))&gt;0,1,0))"),"")</f>
        <v/>
      </c>
      <c r="H96" s="47" t="str">
        <f>IF(OR($C96="",$D96&lt;&gt;"Sim"),"",IF(COUNTIFS(RASTREABILIDADE!$A:$A,"C0",RASTREABILIDADE!$G:$G,$C96,RASTREABILIDADE!$H:$H,"Sim",RASTREABILIDADE!$C:$C,IF(RESUMO!$B$5="Todas","&lt;&gt;",RESUMO!$B$5),RASTREABILIDADE!$B:$B,IF(RESUMO!$B$6="Todas","&lt;&gt;",RESUMO!$B$6))&gt;0,1,0))</f>
        <v/>
      </c>
      <c r="I96" s="47" t="str">
        <f>IF(OR($C96="",$D96&lt;&gt;"Sim"),"",IF(COUNTIFS(RASTREABILIDADE!$A:$A,"C1",RASTREABILIDADE!$G:$G,$C96,RASTREABILIDADE!$H:$H,"Sim",RASTREABILIDADE!$C:$C,IF(RESUMO!$B$5="Todas","&lt;&gt;",RESUMO!$B$5),RASTREABILIDADE!$B:$B,IF(RESUMO!$B$6="Todas","&lt;&gt;",RESUMO!$B$6))&gt;0,1,0))</f>
        <v/>
      </c>
      <c r="J96" s="47" t="str">
        <f>IF(OR($C96="",$D96&lt;&gt;"Sim"),"",IF(COUNTIFS(RASTREABILIDADE!$A:$A,"C2",RASTREABILIDADE!$G:$G,$C96,RASTREABILIDADE!$H:$H,"Sim",RASTREABILIDADE!$C:$C,IF(RESUMO!$B$5="Todas","&lt;&gt;",RESUMO!$B$5),RASTREABILIDADE!$B:$B,IF(RESUMO!$B$6="Todas","&lt;&gt;",RESUMO!$B$6))&gt;0,1,0))</f>
        <v/>
      </c>
    </row>
    <row r="97" ht="15.75" customHeight="1">
      <c r="A97" s="47">
        <v>97.0</v>
      </c>
      <c r="B97" s="47" t="str">
        <f>IF(GABARITO!$B98="","",IF(COUNTIF(GABARITO!$B$4:$B98,GABARITO!$B98)=1,GABARITO!$B98,""))</f>
        <v/>
      </c>
      <c r="C97" s="47" t="str">
        <f>IF(GABARITO!$G98="","",GABARITO!$G98)</f>
        <v/>
      </c>
      <c r="D97" s="47" t="str">
        <f>IF(GABARITO!$J98="","",GABARITO!$J98)</f>
        <v/>
      </c>
      <c r="E97" s="47" t="str">
        <f>IFERROR(__xludf.DUMMYFUNCTION("IF($B97="""","""",IF(SUMPRODUCT((RASTREABILIDADE!$A$2:$A$2000=""C0"")*(RASTREABILIDADE!$F$2:$F$2000=""Sim"")*REGEXMATCH(RASTREABILIDADE!$E$2:$E$2000,""(^|[^A-Za-z0-9])""&amp;$B97&amp;""($|[^A-Za-z0-9])"")*(((RESUMO!$B$5=""Todas"")+(RASTREABILIDADE!$C$2:$C$2000=RE"&amp;"SUMO!$B$5))&gt;0)*(((RESUMO!$B$6=""Todas"")+(RASTREABILIDADE!$B$2:$B$2000=RESUMO!$B$6))&gt;0))&gt;0,1,0))"),"")</f>
        <v/>
      </c>
      <c r="F97" s="47" t="str">
        <f>IFERROR(__xludf.DUMMYFUNCTION("IF($B97="""","""",IF(SUMPRODUCT((RASTREABILIDADE!$A$2:$A$2000=""C1"")*(RASTREABILIDADE!$F$2:$F$2000=""Sim"")*REGEXMATCH(RASTREABILIDADE!$E$2:$E$2000,""(^|[^A-Za-z0-9])""&amp;$B97&amp;""($|[^A-Za-z0-9])"")*(((RESUMO!$B$5=""Todas"")+(RASTREABILIDADE!$C$2:$C$2000=RE"&amp;"SUMO!$B$5))&gt;0)*(((RESUMO!$B$6=""Todas"")+(RASTREABILIDADE!$B$2:$B$2000=RESUMO!$B$6))&gt;0))&gt;0,1,0))"),"")</f>
        <v/>
      </c>
      <c r="G97" s="47" t="str">
        <f>IFERROR(__xludf.DUMMYFUNCTION("IF($B97="""","""",IF(SUMPRODUCT((RASTREABILIDADE!$A$2:$A$2000=""C2"")*(RASTREABILIDADE!$F$2:$F$2000=""Sim"")*REGEXMATCH(RASTREABILIDADE!$E$2:$E$2000,""(^|[^A-Za-z0-9])""&amp;$B97&amp;""($|[^A-Za-z0-9])"")*(((RESUMO!$B$5=""Todas"")+(RASTREABILIDADE!$C$2:$C$2000=RE"&amp;"SUMO!$B$5))&gt;0)*(((RESUMO!$B$6=""Todas"")+(RASTREABILIDADE!$B$2:$B$2000=RESUMO!$B$6))&gt;0))&gt;0,1,0))"),"")</f>
        <v/>
      </c>
      <c r="H97" s="47" t="str">
        <f>IF(OR($C97="",$D97&lt;&gt;"Sim"),"",IF(COUNTIFS(RASTREABILIDADE!$A:$A,"C0",RASTREABILIDADE!$G:$G,$C97,RASTREABILIDADE!$H:$H,"Sim",RASTREABILIDADE!$C:$C,IF(RESUMO!$B$5="Todas","&lt;&gt;",RESUMO!$B$5),RASTREABILIDADE!$B:$B,IF(RESUMO!$B$6="Todas","&lt;&gt;",RESUMO!$B$6))&gt;0,1,0))</f>
        <v/>
      </c>
      <c r="I97" s="47" t="str">
        <f>IF(OR($C97="",$D97&lt;&gt;"Sim"),"",IF(COUNTIFS(RASTREABILIDADE!$A:$A,"C1",RASTREABILIDADE!$G:$G,$C97,RASTREABILIDADE!$H:$H,"Sim",RASTREABILIDADE!$C:$C,IF(RESUMO!$B$5="Todas","&lt;&gt;",RESUMO!$B$5),RASTREABILIDADE!$B:$B,IF(RESUMO!$B$6="Todas","&lt;&gt;",RESUMO!$B$6))&gt;0,1,0))</f>
        <v/>
      </c>
      <c r="J97" s="47" t="str">
        <f>IF(OR($C97="",$D97&lt;&gt;"Sim"),"",IF(COUNTIFS(RASTREABILIDADE!$A:$A,"C2",RASTREABILIDADE!$G:$G,$C97,RASTREABILIDADE!$H:$H,"Sim",RASTREABILIDADE!$C:$C,IF(RESUMO!$B$5="Todas","&lt;&gt;",RESUMO!$B$5),RASTREABILIDADE!$B:$B,IF(RESUMO!$B$6="Todas","&lt;&gt;",RESUMO!$B$6))&gt;0,1,0))</f>
        <v/>
      </c>
    </row>
    <row r="98" ht="15.75" customHeight="1">
      <c r="A98" s="47">
        <v>98.0</v>
      </c>
      <c r="B98" s="47" t="str">
        <f>IF(GABARITO!$B99="","",IF(COUNTIF(GABARITO!$B$4:$B99,GABARITO!$B99)=1,GABARITO!$B99,""))</f>
        <v/>
      </c>
      <c r="C98" s="47" t="str">
        <f>IF(GABARITO!$G99="","",GABARITO!$G99)</f>
        <v/>
      </c>
      <c r="D98" s="47" t="str">
        <f>IF(GABARITO!$J99="","",GABARITO!$J99)</f>
        <v/>
      </c>
      <c r="E98" s="47" t="str">
        <f>IFERROR(__xludf.DUMMYFUNCTION("IF($B98="""","""",IF(SUMPRODUCT((RASTREABILIDADE!$A$2:$A$2000=""C0"")*(RASTREABILIDADE!$F$2:$F$2000=""Sim"")*REGEXMATCH(RASTREABILIDADE!$E$2:$E$2000,""(^|[^A-Za-z0-9])""&amp;$B98&amp;""($|[^A-Za-z0-9])"")*(((RESUMO!$B$5=""Todas"")+(RASTREABILIDADE!$C$2:$C$2000=RE"&amp;"SUMO!$B$5))&gt;0)*(((RESUMO!$B$6=""Todas"")+(RASTREABILIDADE!$B$2:$B$2000=RESUMO!$B$6))&gt;0))&gt;0,1,0))"),"")</f>
        <v/>
      </c>
      <c r="F98" s="47" t="str">
        <f>IFERROR(__xludf.DUMMYFUNCTION("IF($B98="""","""",IF(SUMPRODUCT((RASTREABILIDADE!$A$2:$A$2000=""C1"")*(RASTREABILIDADE!$F$2:$F$2000=""Sim"")*REGEXMATCH(RASTREABILIDADE!$E$2:$E$2000,""(^|[^A-Za-z0-9])""&amp;$B98&amp;""($|[^A-Za-z0-9])"")*(((RESUMO!$B$5=""Todas"")+(RASTREABILIDADE!$C$2:$C$2000=RE"&amp;"SUMO!$B$5))&gt;0)*(((RESUMO!$B$6=""Todas"")+(RASTREABILIDADE!$B$2:$B$2000=RESUMO!$B$6))&gt;0))&gt;0,1,0))"),"")</f>
        <v/>
      </c>
      <c r="G98" s="47" t="str">
        <f>IFERROR(__xludf.DUMMYFUNCTION("IF($B98="""","""",IF(SUMPRODUCT((RASTREABILIDADE!$A$2:$A$2000=""C2"")*(RASTREABILIDADE!$F$2:$F$2000=""Sim"")*REGEXMATCH(RASTREABILIDADE!$E$2:$E$2000,""(^|[^A-Za-z0-9])""&amp;$B98&amp;""($|[^A-Za-z0-9])"")*(((RESUMO!$B$5=""Todas"")+(RASTREABILIDADE!$C$2:$C$2000=RE"&amp;"SUMO!$B$5))&gt;0)*(((RESUMO!$B$6=""Todas"")+(RASTREABILIDADE!$B$2:$B$2000=RESUMO!$B$6))&gt;0))&gt;0,1,0))"),"")</f>
        <v/>
      </c>
      <c r="H98" s="47" t="str">
        <f>IF(OR($C98="",$D98&lt;&gt;"Sim"),"",IF(COUNTIFS(RASTREABILIDADE!$A:$A,"C0",RASTREABILIDADE!$G:$G,$C98,RASTREABILIDADE!$H:$H,"Sim",RASTREABILIDADE!$C:$C,IF(RESUMO!$B$5="Todas","&lt;&gt;",RESUMO!$B$5),RASTREABILIDADE!$B:$B,IF(RESUMO!$B$6="Todas","&lt;&gt;",RESUMO!$B$6))&gt;0,1,0))</f>
        <v/>
      </c>
      <c r="I98" s="47" t="str">
        <f>IF(OR($C98="",$D98&lt;&gt;"Sim"),"",IF(COUNTIFS(RASTREABILIDADE!$A:$A,"C1",RASTREABILIDADE!$G:$G,$C98,RASTREABILIDADE!$H:$H,"Sim",RASTREABILIDADE!$C:$C,IF(RESUMO!$B$5="Todas","&lt;&gt;",RESUMO!$B$5),RASTREABILIDADE!$B:$B,IF(RESUMO!$B$6="Todas","&lt;&gt;",RESUMO!$B$6))&gt;0,1,0))</f>
        <v/>
      </c>
      <c r="J98" s="47" t="str">
        <f>IF(OR($C98="",$D98&lt;&gt;"Sim"),"",IF(COUNTIFS(RASTREABILIDADE!$A:$A,"C2",RASTREABILIDADE!$G:$G,$C98,RASTREABILIDADE!$H:$H,"Sim",RASTREABILIDADE!$C:$C,IF(RESUMO!$B$5="Todas","&lt;&gt;",RESUMO!$B$5),RASTREABILIDADE!$B:$B,IF(RESUMO!$B$6="Todas","&lt;&gt;",RESUMO!$B$6))&gt;0,1,0))</f>
        <v/>
      </c>
    </row>
    <row r="99" ht="15.75" customHeight="1">
      <c r="A99" s="47">
        <v>99.0</v>
      </c>
      <c r="B99" s="47" t="str">
        <f>IF(GABARITO!$B100="","",IF(COUNTIF(GABARITO!$B$4:$B100,GABARITO!$B100)=1,GABARITO!$B100,""))</f>
        <v/>
      </c>
      <c r="C99" s="47" t="str">
        <f>IF(GABARITO!$G100="","",GABARITO!$G100)</f>
        <v/>
      </c>
      <c r="D99" s="47" t="str">
        <f>IF(GABARITO!$J100="","",GABARITO!$J100)</f>
        <v/>
      </c>
      <c r="E99" s="47" t="str">
        <f>IFERROR(__xludf.DUMMYFUNCTION("IF($B99="""","""",IF(SUMPRODUCT((RASTREABILIDADE!$A$2:$A$2000=""C0"")*(RASTREABILIDADE!$F$2:$F$2000=""Sim"")*REGEXMATCH(RASTREABILIDADE!$E$2:$E$2000,""(^|[^A-Za-z0-9])""&amp;$B99&amp;""($|[^A-Za-z0-9])"")*(((RESUMO!$B$5=""Todas"")+(RASTREABILIDADE!$C$2:$C$2000=RE"&amp;"SUMO!$B$5))&gt;0)*(((RESUMO!$B$6=""Todas"")+(RASTREABILIDADE!$B$2:$B$2000=RESUMO!$B$6))&gt;0))&gt;0,1,0))"),"")</f>
        <v/>
      </c>
      <c r="F99" s="47" t="str">
        <f>IFERROR(__xludf.DUMMYFUNCTION("IF($B99="""","""",IF(SUMPRODUCT((RASTREABILIDADE!$A$2:$A$2000=""C1"")*(RASTREABILIDADE!$F$2:$F$2000=""Sim"")*REGEXMATCH(RASTREABILIDADE!$E$2:$E$2000,""(^|[^A-Za-z0-9])""&amp;$B99&amp;""($|[^A-Za-z0-9])"")*(((RESUMO!$B$5=""Todas"")+(RASTREABILIDADE!$C$2:$C$2000=RE"&amp;"SUMO!$B$5))&gt;0)*(((RESUMO!$B$6=""Todas"")+(RASTREABILIDADE!$B$2:$B$2000=RESUMO!$B$6))&gt;0))&gt;0,1,0))"),"")</f>
        <v/>
      </c>
      <c r="G99" s="47" t="str">
        <f>IFERROR(__xludf.DUMMYFUNCTION("IF($B99="""","""",IF(SUMPRODUCT((RASTREABILIDADE!$A$2:$A$2000=""C2"")*(RASTREABILIDADE!$F$2:$F$2000=""Sim"")*REGEXMATCH(RASTREABILIDADE!$E$2:$E$2000,""(^|[^A-Za-z0-9])""&amp;$B99&amp;""($|[^A-Za-z0-9])"")*(((RESUMO!$B$5=""Todas"")+(RASTREABILIDADE!$C$2:$C$2000=RE"&amp;"SUMO!$B$5))&gt;0)*(((RESUMO!$B$6=""Todas"")+(RASTREABILIDADE!$B$2:$B$2000=RESUMO!$B$6))&gt;0))&gt;0,1,0))"),"")</f>
        <v/>
      </c>
      <c r="H99" s="47" t="str">
        <f>IF(OR($C99="",$D99&lt;&gt;"Sim"),"",IF(COUNTIFS(RASTREABILIDADE!$A:$A,"C0",RASTREABILIDADE!$G:$G,$C99,RASTREABILIDADE!$H:$H,"Sim",RASTREABILIDADE!$C:$C,IF(RESUMO!$B$5="Todas","&lt;&gt;",RESUMO!$B$5),RASTREABILIDADE!$B:$B,IF(RESUMO!$B$6="Todas","&lt;&gt;",RESUMO!$B$6))&gt;0,1,0))</f>
        <v/>
      </c>
      <c r="I99" s="47" t="str">
        <f>IF(OR($C99="",$D99&lt;&gt;"Sim"),"",IF(COUNTIFS(RASTREABILIDADE!$A:$A,"C1",RASTREABILIDADE!$G:$G,$C99,RASTREABILIDADE!$H:$H,"Sim",RASTREABILIDADE!$C:$C,IF(RESUMO!$B$5="Todas","&lt;&gt;",RESUMO!$B$5),RASTREABILIDADE!$B:$B,IF(RESUMO!$B$6="Todas","&lt;&gt;",RESUMO!$B$6))&gt;0,1,0))</f>
        <v/>
      </c>
      <c r="J99" s="47" t="str">
        <f>IF(OR($C99="",$D99&lt;&gt;"Sim"),"",IF(COUNTIFS(RASTREABILIDADE!$A:$A,"C2",RASTREABILIDADE!$G:$G,$C99,RASTREABILIDADE!$H:$H,"Sim",RASTREABILIDADE!$C:$C,IF(RESUMO!$B$5="Todas","&lt;&gt;",RESUMO!$B$5),RASTREABILIDADE!$B:$B,IF(RESUMO!$B$6="Todas","&lt;&gt;",RESUMO!$B$6))&gt;0,1,0))</f>
        <v/>
      </c>
    </row>
    <row r="100" ht="15.75" customHeight="1">
      <c r="A100" s="47">
        <v>100.0</v>
      </c>
      <c r="B100" s="47" t="str">
        <f>IF(GABARITO!$B101="","",IF(COUNTIF(GABARITO!$B$4:$B101,GABARITO!$B101)=1,GABARITO!$B101,""))</f>
        <v/>
      </c>
      <c r="C100" s="47" t="str">
        <f>IF(GABARITO!$G101="","",GABARITO!$G101)</f>
        <v/>
      </c>
      <c r="D100" s="47" t="str">
        <f>IF(GABARITO!$J101="","",GABARITO!$J101)</f>
        <v/>
      </c>
      <c r="E100" s="47" t="str">
        <f>IFERROR(__xludf.DUMMYFUNCTION("IF($B100="""","""",IF(SUMPRODUCT((RASTREABILIDADE!$A$2:$A$2000=""C0"")*(RASTREABILIDADE!$F$2:$F$2000=""Sim"")*REGEXMATCH(RASTREABILIDADE!$E$2:$E$2000,""(^|[^A-Za-z0-9])""&amp;$B100&amp;""($|[^A-Za-z0-9])"")*(((RESUMO!$B$5=""Todas"")+(RASTREABILIDADE!$C$2:$C$2000="&amp;"RESUMO!$B$5))&gt;0)*(((RESUMO!$B$6=""Todas"")+(RASTREABILIDADE!$B$2:$B$2000=RESUMO!$B$6))&gt;0))&gt;0,1,0))"),"")</f>
        <v/>
      </c>
      <c r="F100" s="47" t="str">
        <f>IFERROR(__xludf.DUMMYFUNCTION("IF($B100="""","""",IF(SUMPRODUCT((RASTREABILIDADE!$A$2:$A$2000=""C1"")*(RASTREABILIDADE!$F$2:$F$2000=""Sim"")*REGEXMATCH(RASTREABILIDADE!$E$2:$E$2000,""(^|[^A-Za-z0-9])""&amp;$B100&amp;""($|[^A-Za-z0-9])"")*(((RESUMO!$B$5=""Todas"")+(RASTREABILIDADE!$C$2:$C$2000="&amp;"RESUMO!$B$5))&gt;0)*(((RESUMO!$B$6=""Todas"")+(RASTREABILIDADE!$B$2:$B$2000=RESUMO!$B$6))&gt;0))&gt;0,1,0))"),"")</f>
        <v/>
      </c>
      <c r="G100" s="47" t="str">
        <f>IFERROR(__xludf.DUMMYFUNCTION("IF($B100="""","""",IF(SUMPRODUCT((RASTREABILIDADE!$A$2:$A$2000=""C2"")*(RASTREABILIDADE!$F$2:$F$2000=""Sim"")*REGEXMATCH(RASTREABILIDADE!$E$2:$E$2000,""(^|[^A-Za-z0-9])""&amp;$B100&amp;""($|[^A-Za-z0-9])"")*(((RESUMO!$B$5=""Todas"")+(RASTREABILIDADE!$C$2:$C$2000="&amp;"RESUMO!$B$5))&gt;0)*(((RESUMO!$B$6=""Todas"")+(RASTREABILIDADE!$B$2:$B$2000=RESUMO!$B$6))&gt;0))&gt;0,1,0))"),"")</f>
        <v/>
      </c>
      <c r="H100" s="47" t="str">
        <f>IF(OR($C100="",$D100&lt;&gt;"Sim"),"",IF(COUNTIFS(RASTREABILIDADE!$A:$A,"C0",RASTREABILIDADE!$G:$G,$C100,RASTREABILIDADE!$H:$H,"Sim",RASTREABILIDADE!$C:$C,IF(RESUMO!$B$5="Todas","&lt;&gt;",RESUMO!$B$5),RASTREABILIDADE!$B:$B,IF(RESUMO!$B$6="Todas","&lt;&gt;",RESUMO!$B$6))&gt;0,1,0))</f>
        <v/>
      </c>
      <c r="I100" s="47" t="str">
        <f>IF(OR($C100="",$D100&lt;&gt;"Sim"),"",IF(COUNTIFS(RASTREABILIDADE!$A:$A,"C1",RASTREABILIDADE!$G:$G,$C100,RASTREABILIDADE!$H:$H,"Sim",RASTREABILIDADE!$C:$C,IF(RESUMO!$B$5="Todas","&lt;&gt;",RESUMO!$B$5),RASTREABILIDADE!$B:$B,IF(RESUMO!$B$6="Todas","&lt;&gt;",RESUMO!$B$6))&gt;0,1,0))</f>
        <v/>
      </c>
      <c r="J100" s="47" t="str">
        <f>IF(OR($C100="",$D100&lt;&gt;"Sim"),"",IF(COUNTIFS(RASTREABILIDADE!$A:$A,"C2",RASTREABILIDADE!$G:$G,$C100,RASTREABILIDADE!$H:$H,"Sim",RASTREABILIDADE!$C:$C,IF(RESUMO!$B$5="Todas","&lt;&gt;",RESUMO!$B$5),RASTREABILIDADE!$B:$B,IF(RESUMO!$B$6="Todas","&lt;&gt;",RESUMO!$B$6))&gt;0,1,0))</f>
        <v/>
      </c>
    </row>
    <row r="101" ht="15.75" customHeight="1">
      <c r="A101" s="47">
        <v>101.0</v>
      </c>
      <c r="B101" s="47" t="str">
        <f>IF(GABARITO!$B102="","",IF(COUNTIF(GABARITO!$B$4:$B102,GABARITO!$B102)=1,GABARITO!$B102,""))</f>
        <v/>
      </c>
      <c r="C101" s="47" t="str">
        <f>IF(GABARITO!$G102="","",GABARITO!$G102)</f>
        <v/>
      </c>
      <c r="D101" s="47" t="str">
        <f>IF(GABARITO!$J102="","",GABARITO!$J102)</f>
        <v/>
      </c>
      <c r="E101" s="47" t="str">
        <f>IFERROR(__xludf.DUMMYFUNCTION("IF($B101="""","""",IF(SUMPRODUCT((RASTREABILIDADE!$A$2:$A$2000=""C0"")*(RASTREABILIDADE!$F$2:$F$2000=""Sim"")*REGEXMATCH(RASTREABILIDADE!$E$2:$E$2000,""(^|[^A-Za-z0-9])""&amp;$B101&amp;""($|[^A-Za-z0-9])"")*(((RESUMO!$B$5=""Todas"")+(RASTREABILIDADE!$C$2:$C$2000="&amp;"RESUMO!$B$5))&gt;0)*(((RESUMO!$B$6=""Todas"")+(RASTREABILIDADE!$B$2:$B$2000=RESUMO!$B$6))&gt;0))&gt;0,1,0))"),"")</f>
        <v/>
      </c>
      <c r="F101" s="47" t="str">
        <f>IFERROR(__xludf.DUMMYFUNCTION("IF($B101="""","""",IF(SUMPRODUCT((RASTREABILIDADE!$A$2:$A$2000=""C1"")*(RASTREABILIDADE!$F$2:$F$2000=""Sim"")*REGEXMATCH(RASTREABILIDADE!$E$2:$E$2000,""(^|[^A-Za-z0-9])""&amp;$B101&amp;""($|[^A-Za-z0-9])"")*(((RESUMO!$B$5=""Todas"")+(RASTREABILIDADE!$C$2:$C$2000="&amp;"RESUMO!$B$5))&gt;0)*(((RESUMO!$B$6=""Todas"")+(RASTREABILIDADE!$B$2:$B$2000=RESUMO!$B$6))&gt;0))&gt;0,1,0))"),"")</f>
        <v/>
      </c>
      <c r="G101" s="47" t="str">
        <f>IFERROR(__xludf.DUMMYFUNCTION("IF($B101="""","""",IF(SUMPRODUCT((RASTREABILIDADE!$A$2:$A$2000=""C2"")*(RASTREABILIDADE!$F$2:$F$2000=""Sim"")*REGEXMATCH(RASTREABILIDADE!$E$2:$E$2000,""(^|[^A-Za-z0-9])""&amp;$B101&amp;""($|[^A-Za-z0-9])"")*(((RESUMO!$B$5=""Todas"")+(RASTREABILIDADE!$C$2:$C$2000="&amp;"RESUMO!$B$5))&gt;0)*(((RESUMO!$B$6=""Todas"")+(RASTREABILIDADE!$B$2:$B$2000=RESUMO!$B$6))&gt;0))&gt;0,1,0))"),"")</f>
        <v/>
      </c>
      <c r="H101" s="47" t="str">
        <f>IF(OR($C101="",$D101&lt;&gt;"Sim"),"",IF(COUNTIFS(RASTREABILIDADE!$A:$A,"C0",RASTREABILIDADE!$G:$G,$C101,RASTREABILIDADE!$H:$H,"Sim",RASTREABILIDADE!$C:$C,IF(RESUMO!$B$5="Todas","&lt;&gt;",RESUMO!$B$5),RASTREABILIDADE!$B:$B,IF(RESUMO!$B$6="Todas","&lt;&gt;",RESUMO!$B$6))&gt;0,1,0))</f>
        <v/>
      </c>
      <c r="I101" s="47" t="str">
        <f>IF(OR($C101="",$D101&lt;&gt;"Sim"),"",IF(COUNTIFS(RASTREABILIDADE!$A:$A,"C1",RASTREABILIDADE!$G:$G,$C101,RASTREABILIDADE!$H:$H,"Sim",RASTREABILIDADE!$C:$C,IF(RESUMO!$B$5="Todas","&lt;&gt;",RESUMO!$B$5),RASTREABILIDADE!$B:$B,IF(RESUMO!$B$6="Todas","&lt;&gt;",RESUMO!$B$6))&gt;0,1,0))</f>
        <v/>
      </c>
      <c r="J101" s="47" t="str">
        <f>IF(OR($C101="",$D101&lt;&gt;"Sim"),"",IF(COUNTIFS(RASTREABILIDADE!$A:$A,"C2",RASTREABILIDADE!$G:$G,$C101,RASTREABILIDADE!$H:$H,"Sim",RASTREABILIDADE!$C:$C,IF(RESUMO!$B$5="Todas","&lt;&gt;",RESUMO!$B$5),RASTREABILIDADE!$B:$B,IF(RESUMO!$B$6="Todas","&lt;&gt;",RESUMO!$B$6))&gt;0,1,0))</f>
        <v/>
      </c>
    </row>
    <row r="102" ht="15.75" customHeight="1">
      <c r="A102" s="47">
        <v>102.0</v>
      </c>
      <c r="B102" s="47" t="str">
        <f>IF(GABARITO!$B103="","",IF(COUNTIF(GABARITO!$B$4:$B103,GABARITO!$B103)=1,GABARITO!$B103,""))</f>
        <v/>
      </c>
      <c r="C102" s="47" t="str">
        <f>IF(GABARITO!$G103="","",GABARITO!$G103)</f>
        <v/>
      </c>
      <c r="D102" s="47" t="str">
        <f>IF(GABARITO!$J103="","",GABARITO!$J103)</f>
        <v/>
      </c>
      <c r="E102" s="47" t="str">
        <f>IFERROR(__xludf.DUMMYFUNCTION("IF($B102="""","""",IF(SUMPRODUCT((RASTREABILIDADE!$A$2:$A$2000=""C0"")*(RASTREABILIDADE!$F$2:$F$2000=""Sim"")*REGEXMATCH(RASTREABILIDADE!$E$2:$E$2000,""(^|[^A-Za-z0-9])""&amp;$B102&amp;""($|[^A-Za-z0-9])"")*(((RESUMO!$B$5=""Todas"")+(RASTREABILIDADE!$C$2:$C$2000="&amp;"RESUMO!$B$5))&gt;0)*(((RESUMO!$B$6=""Todas"")+(RASTREABILIDADE!$B$2:$B$2000=RESUMO!$B$6))&gt;0))&gt;0,1,0))"),"")</f>
        <v/>
      </c>
      <c r="F102" s="47" t="str">
        <f>IFERROR(__xludf.DUMMYFUNCTION("IF($B102="""","""",IF(SUMPRODUCT((RASTREABILIDADE!$A$2:$A$2000=""C1"")*(RASTREABILIDADE!$F$2:$F$2000=""Sim"")*REGEXMATCH(RASTREABILIDADE!$E$2:$E$2000,""(^|[^A-Za-z0-9])""&amp;$B102&amp;""($|[^A-Za-z0-9])"")*(((RESUMO!$B$5=""Todas"")+(RASTREABILIDADE!$C$2:$C$2000="&amp;"RESUMO!$B$5))&gt;0)*(((RESUMO!$B$6=""Todas"")+(RASTREABILIDADE!$B$2:$B$2000=RESUMO!$B$6))&gt;0))&gt;0,1,0))"),"")</f>
        <v/>
      </c>
      <c r="G102" s="47" t="str">
        <f>IFERROR(__xludf.DUMMYFUNCTION("IF($B102="""","""",IF(SUMPRODUCT((RASTREABILIDADE!$A$2:$A$2000=""C2"")*(RASTREABILIDADE!$F$2:$F$2000=""Sim"")*REGEXMATCH(RASTREABILIDADE!$E$2:$E$2000,""(^|[^A-Za-z0-9])""&amp;$B102&amp;""($|[^A-Za-z0-9])"")*(((RESUMO!$B$5=""Todas"")+(RASTREABILIDADE!$C$2:$C$2000="&amp;"RESUMO!$B$5))&gt;0)*(((RESUMO!$B$6=""Todas"")+(RASTREABILIDADE!$B$2:$B$2000=RESUMO!$B$6))&gt;0))&gt;0,1,0))"),"")</f>
        <v/>
      </c>
      <c r="H102" s="47" t="str">
        <f>IF(OR($C102="",$D102&lt;&gt;"Sim"),"",IF(COUNTIFS(RASTREABILIDADE!$A:$A,"C0",RASTREABILIDADE!$G:$G,$C102,RASTREABILIDADE!$H:$H,"Sim",RASTREABILIDADE!$C:$C,IF(RESUMO!$B$5="Todas","&lt;&gt;",RESUMO!$B$5),RASTREABILIDADE!$B:$B,IF(RESUMO!$B$6="Todas","&lt;&gt;",RESUMO!$B$6))&gt;0,1,0))</f>
        <v/>
      </c>
      <c r="I102" s="47" t="str">
        <f>IF(OR($C102="",$D102&lt;&gt;"Sim"),"",IF(COUNTIFS(RASTREABILIDADE!$A:$A,"C1",RASTREABILIDADE!$G:$G,$C102,RASTREABILIDADE!$H:$H,"Sim",RASTREABILIDADE!$C:$C,IF(RESUMO!$B$5="Todas","&lt;&gt;",RESUMO!$B$5),RASTREABILIDADE!$B:$B,IF(RESUMO!$B$6="Todas","&lt;&gt;",RESUMO!$B$6))&gt;0,1,0))</f>
        <v/>
      </c>
      <c r="J102" s="47" t="str">
        <f>IF(OR($C102="",$D102&lt;&gt;"Sim"),"",IF(COUNTIFS(RASTREABILIDADE!$A:$A,"C2",RASTREABILIDADE!$G:$G,$C102,RASTREABILIDADE!$H:$H,"Sim",RASTREABILIDADE!$C:$C,IF(RESUMO!$B$5="Todas","&lt;&gt;",RESUMO!$B$5),RASTREABILIDADE!$B:$B,IF(RESUMO!$B$6="Todas","&lt;&gt;",RESUMO!$B$6))&gt;0,1,0))</f>
        <v/>
      </c>
    </row>
    <row r="103" ht="15.75" customHeight="1">
      <c r="A103" s="47">
        <v>103.0</v>
      </c>
      <c r="B103" s="47" t="str">
        <f>IF(GABARITO!$B104="","",IF(COUNTIF(GABARITO!$B$4:$B104,GABARITO!$B104)=1,GABARITO!$B104,""))</f>
        <v/>
      </c>
      <c r="C103" s="47" t="str">
        <f>IF(GABARITO!$G104="","",GABARITO!$G104)</f>
        <v/>
      </c>
      <c r="D103" s="47" t="str">
        <f>IF(GABARITO!$J104="","",GABARITO!$J104)</f>
        <v/>
      </c>
      <c r="E103" s="47" t="str">
        <f>IFERROR(__xludf.DUMMYFUNCTION("IF($B103="""","""",IF(SUMPRODUCT((RASTREABILIDADE!$A$2:$A$2000=""C0"")*(RASTREABILIDADE!$F$2:$F$2000=""Sim"")*REGEXMATCH(RASTREABILIDADE!$E$2:$E$2000,""(^|[^A-Za-z0-9])""&amp;$B103&amp;""($|[^A-Za-z0-9])"")*(((RESUMO!$B$5=""Todas"")+(RASTREABILIDADE!$C$2:$C$2000="&amp;"RESUMO!$B$5))&gt;0)*(((RESUMO!$B$6=""Todas"")+(RASTREABILIDADE!$B$2:$B$2000=RESUMO!$B$6))&gt;0))&gt;0,1,0))"),"")</f>
        <v/>
      </c>
      <c r="F103" s="47" t="str">
        <f>IFERROR(__xludf.DUMMYFUNCTION("IF($B103="""","""",IF(SUMPRODUCT((RASTREABILIDADE!$A$2:$A$2000=""C1"")*(RASTREABILIDADE!$F$2:$F$2000=""Sim"")*REGEXMATCH(RASTREABILIDADE!$E$2:$E$2000,""(^|[^A-Za-z0-9])""&amp;$B103&amp;""($|[^A-Za-z0-9])"")*(((RESUMO!$B$5=""Todas"")+(RASTREABILIDADE!$C$2:$C$2000="&amp;"RESUMO!$B$5))&gt;0)*(((RESUMO!$B$6=""Todas"")+(RASTREABILIDADE!$B$2:$B$2000=RESUMO!$B$6))&gt;0))&gt;0,1,0))"),"")</f>
        <v/>
      </c>
      <c r="G103" s="47" t="str">
        <f>IFERROR(__xludf.DUMMYFUNCTION("IF($B103="""","""",IF(SUMPRODUCT((RASTREABILIDADE!$A$2:$A$2000=""C2"")*(RASTREABILIDADE!$F$2:$F$2000=""Sim"")*REGEXMATCH(RASTREABILIDADE!$E$2:$E$2000,""(^|[^A-Za-z0-9])""&amp;$B103&amp;""($|[^A-Za-z0-9])"")*(((RESUMO!$B$5=""Todas"")+(RASTREABILIDADE!$C$2:$C$2000="&amp;"RESUMO!$B$5))&gt;0)*(((RESUMO!$B$6=""Todas"")+(RASTREABILIDADE!$B$2:$B$2000=RESUMO!$B$6))&gt;0))&gt;0,1,0))"),"")</f>
        <v/>
      </c>
      <c r="H103" s="47" t="str">
        <f>IF(OR($C103="",$D103&lt;&gt;"Sim"),"",IF(COUNTIFS(RASTREABILIDADE!$A:$A,"C0",RASTREABILIDADE!$G:$G,$C103,RASTREABILIDADE!$H:$H,"Sim",RASTREABILIDADE!$C:$C,IF(RESUMO!$B$5="Todas","&lt;&gt;",RESUMO!$B$5),RASTREABILIDADE!$B:$B,IF(RESUMO!$B$6="Todas","&lt;&gt;",RESUMO!$B$6))&gt;0,1,0))</f>
        <v/>
      </c>
      <c r="I103" s="47" t="str">
        <f>IF(OR($C103="",$D103&lt;&gt;"Sim"),"",IF(COUNTIFS(RASTREABILIDADE!$A:$A,"C1",RASTREABILIDADE!$G:$G,$C103,RASTREABILIDADE!$H:$H,"Sim",RASTREABILIDADE!$C:$C,IF(RESUMO!$B$5="Todas","&lt;&gt;",RESUMO!$B$5),RASTREABILIDADE!$B:$B,IF(RESUMO!$B$6="Todas","&lt;&gt;",RESUMO!$B$6))&gt;0,1,0))</f>
        <v/>
      </c>
      <c r="J103" s="47" t="str">
        <f>IF(OR($C103="",$D103&lt;&gt;"Sim"),"",IF(COUNTIFS(RASTREABILIDADE!$A:$A,"C2",RASTREABILIDADE!$G:$G,$C103,RASTREABILIDADE!$H:$H,"Sim",RASTREABILIDADE!$C:$C,IF(RESUMO!$B$5="Todas","&lt;&gt;",RESUMO!$B$5),RASTREABILIDADE!$B:$B,IF(RESUMO!$B$6="Todas","&lt;&gt;",RESUMO!$B$6))&gt;0,1,0))</f>
        <v/>
      </c>
    </row>
    <row r="104" ht="15.75" customHeight="1">
      <c r="A104" s="47">
        <v>104.0</v>
      </c>
      <c r="B104" s="47" t="str">
        <f>IF(GABARITO!$B105="","",IF(COUNTIF(GABARITO!$B$4:$B105,GABARITO!$B105)=1,GABARITO!$B105,""))</f>
        <v/>
      </c>
      <c r="C104" s="47" t="str">
        <f>IF(GABARITO!$G105="","",GABARITO!$G105)</f>
        <v/>
      </c>
      <c r="D104" s="47" t="str">
        <f>IF(GABARITO!$J105="","",GABARITO!$J105)</f>
        <v/>
      </c>
      <c r="E104" s="47" t="str">
        <f>IFERROR(__xludf.DUMMYFUNCTION("IF($B104="""","""",IF(SUMPRODUCT((RASTREABILIDADE!$A$2:$A$2000=""C0"")*(RASTREABILIDADE!$F$2:$F$2000=""Sim"")*REGEXMATCH(RASTREABILIDADE!$E$2:$E$2000,""(^|[^A-Za-z0-9])""&amp;$B104&amp;""($|[^A-Za-z0-9])"")*(((RESUMO!$B$5=""Todas"")+(RASTREABILIDADE!$C$2:$C$2000="&amp;"RESUMO!$B$5))&gt;0)*(((RESUMO!$B$6=""Todas"")+(RASTREABILIDADE!$B$2:$B$2000=RESUMO!$B$6))&gt;0))&gt;0,1,0))"),"")</f>
        <v/>
      </c>
      <c r="F104" s="47" t="str">
        <f>IFERROR(__xludf.DUMMYFUNCTION("IF($B104="""","""",IF(SUMPRODUCT((RASTREABILIDADE!$A$2:$A$2000=""C1"")*(RASTREABILIDADE!$F$2:$F$2000=""Sim"")*REGEXMATCH(RASTREABILIDADE!$E$2:$E$2000,""(^|[^A-Za-z0-9])""&amp;$B104&amp;""($|[^A-Za-z0-9])"")*(((RESUMO!$B$5=""Todas"")+(RASTREABILIDADE!$C$2:$C$2000="&amp;"RESUMO!$B$5))&gt;0)*(((RESUMO!$B$6=""Todas"")+(RASTREABILIDADE!$B$2:$B$2000=RESUMO!$B$6))&gt;0))&gt;0,1,0))"),"")</f>
        <v/>
      </c>
      <c r="G104" s="47" t="str">
        <f>IFERROR(__xludf.DUMMYFUNCTION("IF($B104="""","""",IF(SUMPRODUCT((RASTREABILIDADE!$A$2:$A$2000=""C2"")*(RASTREABILIDADE!$F$2:$F$2000=""Sim"")*REGEXMATCH(RASTREABILIDADE!$E$2:$E$2000,""(^|[^A-Za-z0-9])""&amp;$B104&amp;""($|[^A-Za-z0-9])"")*(((RESUMO!$B$5=""Todas"")+(RASTREABILIDADE!$C$2:$C$2000="&amp;"RESUMO!$B$5))&gt;0)*(((RESUMO!$B$6=""Todas"")+(RASTREABILIDADE!$B$2:$B$2000=RESUMO!$B$6))&gt;0))&gt;0,1,0))"),"")</f>
        <v/>
      </c>
      <c r="H104" s="47" t="str">
        <f>IF(OR($C104="",$D104&lt;&gt;"Sim"),"",IF(COUNTIFS(RASTREABILIDADE!$A:$A,"C0",RASTREABILIDADE!$G:$G,$C104,RASTREABILIDADE!$H:$H,"Sim",RASTREABILIDADE!$C:$C,IF(RESUMO!$B$5="Todas","&lt;&gt;",RESUMO!$B$5),RASTREABILIDADE!$B:$B,IF(RESUMO!$B$6="Todas","&lt;&gt;",RESUMO!$B$6))&gt;0,1,0))</f>
        <v/>
      </c>
      <c r="I104" s="47" t="str">
        <f>IF(OR($C104="",$D104&lt;&gt;"Sim"),"",IF(COUNTIFS(RASTREABILIDADE!$A:$A,"C1",RASTREABILIDADE!$G:$G,$C104,RASTREABILIDADE!$H:$H,"Sim",RASTREABILIDADE!$C:$C,IF(RESUMO!$B$5="Todas","&lt;&gt;",RESUMO!$B$5),RASTREABILIDADE!$B:$B,IF(RESUMO!$B$6="Todas","&lt;&gt;",RESUMO!$B$6))&gt;0,1,0))</f>
        <v/>
      </c>
      <c r="J104" s="47" t="str">
        <f>IF(OR($C104="",$D104&lt;&gt;"Sim"),"",IF(COUNTIFS(RASTREABILIDADE!$A:$A,"C2",RASTREABILIDADE!$G:$G,$C104,RASTREABILIDADE!$H:$H,"Sim",RASTREABILIDADE!$C:$C,IF(RESUMO!$B$5="Todas","&lt;&gt;",RESUMO!$B$5),RASTREABILIDADE!$B:$B,IF(RESUMO!$B$6="Todas","&lt;&gt;",RESUMO!$B$6))&gt;0,1,0))</f>
        <v/>
      </c>
    </row>
    <row r="105" ht="15.75" customHeight="1">
      <c r="A105" s="47">
        <v>105.0</v>
      </c>
      <c r="B105" s="47" t="str">
        <f>IF(GABARITO!$B106="","",IF(COUNTIF(GABARITO!$B$4:$B106,GABARITO!$B106)=1,GABARITO!$B106,""))</f>
        <v/>
      </c>
      <c r="C105" s="47" t="str">
        <f>IF(GABARITO!$G106="","",GABARITO!$G106)</f>
        <v/>
      </c>
      <c r="D105" s="47" t="str">
        <f>IF(GABARITO!$J106="","",GABARITO!$J106)</f>
        <v/>
      </c>
      <c r="E105" s="47" t="str">
        <f>IFERROR(__xludf.DUMMYFUNCTION("IF($B105="""","""",IF(SUMPRODUCT((RASTREABILIDADE!$A$2:$A$2000=""C0"")*(RASTREABILIDADE!$F$2:$F$2000=""Sim"")*REGEXMATCH(RASTREABILIDADE!$E$2:$E$2000,""(^|[^A-Za-z0-9])""&amp;$B105&amp;""($|[^A-Za-z0-9])"")*(((RESUMO!$B$5=""Todas"")+(RASTREABILIDADE!$C$2:$C$2000="&amp;"RESUMO!$B$5))&gt;0)*(((RESUMO!$B$6=""Todas"")+(RASTREABILIDADE!$B$2:$B$2000=RESUMO!$B$6))&gt;0))&gt;0,1,0))"),"")</f>
        <v/>
      </c>
      <c r="F105" s="47" t="str">
        <f>IFERROR(__xludf.DUMMYFUNCTION("IF($B105="""","""",IF(SUMPRODUCT((RASTREABILIDADE!$A$2:$A$2000=""C1"")*(RASTREABILIDADE!$F$2:$F$2000=""Sim"")*REGEXMATCH(RASTREABILIDADE!$E$2:$E$2000,""(^|[^A-Za-z0-9])""&amp;$B105&amp;""($|[^A-Za-z0-9])"")*(((RESUMO!$B$5=""Todas"")+(RASTREABILIDADE!$C$2:$C$2000="&amp;"RESUMO!$B$5))&gt;0)*(((RESUMO!$B$6=""Todas"")+(RASTREABILIDADE!$B$2:$B$2000=RESUMO!$B$6))&gt;0))&gt;0,1,0))"),"")</f>
        <v/>
      </c>
      <c r="G105" s="47" t="str">
        <f>IFERROR(__xludf.DUMMYFUNCTION("IF($B105="""","""",IF(SUMPRODUCT((RASTREABILIDADE!$A$2:$A$2000=""C2"")*(RASTREABILIDADE!$F$2:$F$2000=""Sim"")*REGEXMATCH(RASTREABILIDADE!$E$2:$E$2000,""(^|[^A-Za-z0-9])""&amp;$B105&amp;""($|[^A-Za-z0-9])"")*(((RESUMO!$B$5=""Todas"")+(RASTREABILIDADE!$C$2:$C$2000="&amp;"RESUMO!$B$5))&gt;0)*(((RESUMO!$B$6=""Todas"")+(RASTREABILIDADE!$B$2:$B$2000=RESUMO!$B$6))&gt;0))&gt;0,1,0))"),"")</f>
        <v/>
      </c>
      <c r="H105" s="47" t="str">
        <f>IF(OR($C105="",$D105&lt;&gt;"Sim"),"",IF(COUNTIFS(RASTREABILIDADE!$A:$A,"C0",RASTREABILIDADE!$G:$G,$C105,RASTREABILIDADE!$H:$H,"Sim",RASTREABILIDADE!$C:$C,IF(RESUMO!$B$5="Todas","&lt;&gt;",RESUMO!$B$5),RASTREABILIDADE!$B:$B,IF(RESUMO!$B$6="Todas","&lt;&gt;",RESUMO!$B$6))&gt;0,1,0))</f>
        <v/>
      </c>
      <c r="I105" s="47" t="str">
        <f>IF(OR($C105="",$D105&lt;&gt;"Sim"),"",IF(COUNTIFS(RASTREABILIDADE!$A:$A,"C1",RASTREABILIDADE!$G:$G,$C105,RASTREABILIDADE!$H:$H,"Sim",RASTREABILIDADE!$C:$C,IF(RESUMO!$B$5="Todas","&lt;&gt;",RESUMO!$B$5),RASTREABILIDADE!$B:$B,IF(RESUMO!$B$6="Todas","&lt;&gt;",RESUMO!$B$6))&gt;0,1,0))</f>
        <v/>
      </c>
      <c r="J105" s="47" t="str">
        <f>IF(OR($C105="",$D105&lt;&gt;"Sim"),"",IF(COUNTIFS(RASTREABILIDADE!$A:$A,"C2",RASTREABILIDADE!$G:$G,$C105,RASTREABILIDADE!$H:$H,"Sim",RASTREABILIDADE!$C:$C,IF(RESUMO!$B$5="Todas","&lt;&gt;",RESUMO!$B$5),RASTREABILIDADE!$B:$B,IF(RESUMO!$B$6="Todas","&lt;&gt;",RESUMO!$B$6))&gt;0,1,0))</f>
        <v/>
      </c>
    </row>
    <row r="106" ht="15.75" customHeight="1">
      <c r="A106" s="47">
        <v>106.0</v>
      </c>
      <c r="B106" s="47" t="str">
        <f>IF(GABARITO!$B107="","",IF(COUNTIF(GABARITO!$B$4:$B107,GABARITO!$B107)=1,GABARITO!$B107,""))</f>
        <v/>
      </c>
      <c r="C106" s="47" t="str">
        <f>IF(GABARITO!$G107="","",GABARITO!$G107)</f>
        <v/>
      </c>
      <c r="D106" s="47" t="str">
        <f>IF(GABARITO!$J107="","",GABARITO!$J107)</f>
        <v/>
      </c>
      <c r="E106" s="47" t="str">
        <f>IFERROR(__xludf.DUMMYFUNCTION("IF($B106="""","""",IF(SUMPRODUCT((RASTREABILIDADE!$A$2:$A$2000=""C0"")*(RASTREABILIDADE!$F$2:$F$2000=""Sim"")*REGEXMATCH(RASTREABILIDADE!$E$2:$E$2000,""(^|[^A-Za-z0-9])""&amp;$B106&amp;""($|[^A-Za-z0-9])"")*(((RESUMO!$B$5=""Todas"")+(RASTREABILIDADE!$C$2:$C$2000="&amp;"RESUMO!$B$5))&gt;0)*(((RESUMO!$B$6=""Todas"")+(RASTREABILIDADE!$B$2:$B$2000=RESUMO!$B$6))&gt;0))&gt;0,1,0))"),"")</f>
        <v/>
      </c>
      <c r="F106" s="47" t="str">
        <f>IFERROR(__xludf.DUMMYFUNCTION("IF($B106="""","""",IF(SUMPRODUCT((RASTREABILIDADE!$A$2:$A$2000=""C1"")*(RASTREABILIDADE!$F$2:$F$2000=""Sim"")*REGEXMATCH(RASTREABILIDADE!$E$2:$E$2000,""(^|[^A-Za-z0-9])""&amp;$B106&amp;""($|[^A-Za-z0-9])"")*(((RESUMO!$B$5=""Todas"")+(RASTREABILIDADE!$C$2:$C$2000="&amp;"RESUMO!$B$5))&gt;0)*(((RESUMO!$B$6=""Todas"")+(RASTREABILIDADE!$B$2:$B$2000=RESUMO!$B$6))&gt;0))&gt;0,1,0))"),"")</f>
        <v/>
      </c>
      <c r="G106" s="47" t="str">
        <f>IFERROR(__xludf.DUMMYFUNCTION("IF($B106="""","""",IF(SUMPRODUCT((RASTREABILIDADE!$A$2:$A$2000=""C2"")*(RASTREABILIDADE!$F$2:$F$2000=""Sim"")*REGEXMATCH(RASTREABILIDADE!$E$2:$E$2000,""(^|[^A-Za-z0-9])""&amp;$B106&amp;""($|[^A-Za-z0-9])"")*(((RESUMO!$B$5=""Todas"")+(RASTREABILIDADE!$C$2:$C$2000="&amp;"RESUMO!$B$5))&gt;0)*(((RESUMO!$B$6=""Todas"")+(RASTREABILIDADE!$B$2:$B$2000=RESUMO!$B$6))&gt;0))&gt;0,1,0))"),"")</f>
        <v/>
      </c>
      <c r="H106" s="47" t="str">
        <f>IF(OR($C106="",$D106&lt;&gt;"Sim"),"",IF(COUNTIFS(RASTREABILIDADE!$A:$A,"C0",RASTREABILIDADE!$G:$G,$C106,RASTREABILIDADE!$H:$H,"Sim",RASTREABILIDADE!$C:$C,IF(RESUMO!$B$5="Todas","&lt;&gt;",RESUMO!$B$5),RASTREABILIDADE!$B:$B,IF(RESUMO!$B$6="Todas","&lt;&gt;",RESUMO!$B$6))&gt;0,1,0))</f>
        <v/>
      </c>
      <c r="I106" s="47" t="str">
        <f>IF(OR($C106="",$D106&lt;&gt;"Sim"),"",IF(COUNTIFS(RASTREABILIDADE!$A:$A,"C1",RASTREABILIDADE!$G:$G,$C106,RASTREABILIDADE!$H:$H,"Sim",RASTREABILIDADE!$C:$C,IF(RESUMO!$B$5="Todas","&lt;&gt;",RESUMO!$B$5),RASTREABILIDADE!$B:$B,IF(RESUMO!$B$6="Todas","&lt;&gt;",RESUMO!$B$6))&gt;0,1,0))</f>
        <v/>
      </c>
      <c r="J106" s="47" t="str">
        <f>IF(OR($C106="",$D106&lt;&gt;"Sim"),"",IF(COUNTIFS(RASTREABILIDADE!$A:$A,"C2",RASTREABILIDADE!$G:$G,$C106,RASTREABILIDADE!$H:$H,"Sim",RASTREABILIDADE!$C:$C,IF(RESUMO!$B$5="Todas","&lt;&gt;",RESUMO!$B$5),RASTREABILIDADE!$B:$B,IF(RESUMO!$B$6="Todas","&lt;&gt;",RESUMO!$B$6))&gt;0,1,0))</f>
        <v/>
      </c>
    </row>
    <row r="107" ht="15.75" customHeight="1">
      <c r="A107" s="47">
        <v>107.0</v>
      </c>
      <c r="B107" s="47" t="str">
        <f>IF(GABARITO!$B108="","",IF(COUNTIF(GABARITO!$B$4:$B108,GABARITO!$B108)=1,GABARITO!$B108,""))</f>
        <v/>
      </c>
      <c r="C107" s="47" t="str">
        <f>IF(GABARITO!$G108="","",GABARITO!$G108)</f>
        <v/>
      </c>
      <c r="D107" s="47" t="str">
        <f>IF(GABARITO!$J108="","",GABARITO!$J108)</f>
        <v/>
      </c>
      <c r="E107" s="47" t="str">
        <f>IFERROR(__xludf.DUMMYFUNCTION("IF($B107="""","""",IF(SUMPRODUCT((RASTREABILIDADE!$A$2:$A$2000=""C0"")*(RASTREABILIDADE!$F$2:$F$2000=""Sim"")*REGEXMATCH(RASTREABILIDADE!$E$2:$E$2000,""(^|[^A-Za-z0-9])""&amp;$B107&amp;""($|[^A-Za-z0-9])"")*(((RESUMO!$B$5=""Todas"")+(RASTREABILIDADE!$C$2:$C$2000="&amp;"RESUMO!$B$5))&gt;0)*(((RESUMO!$B$6=""Todas"")+(RASTREABILIDADE!$B$2:$B$2000=RESUMO!$B$6))&gt;0))&gt;0,1,0))"),"")</f>
        <v/>
      </c>
      <c r="F107" s="47" t="str">
        <f>IFERROR(__xludf.DUMMYFUNCTION("IF($B107="""","""",IF(SUMPRODUCT((RASTREABILIDADE!$A$2:$A$2000=""C1"")*(RASTREABILIDADE!$F$2:$F$2000=""Sim"")*REGEXMATCH(RASTREABILIDADE!$E$2:$E$2000,""(^|[^A-Za-z0-9])""&amp;$B107&amp;""($|[^A-Za-z0-9])"")*(((RESUMO!$B$5=""Todas"")+(RASTREABILIDADE!$C$2:$C$2000="&amp;"RESUMO!$B$5))&gt;0)*(((RESUMO!$B$6=""Todas"")+(RASTREABILIDADE!$B$2:$B$2000=RESUMO!$B$6))&gt;0))&gt;0,1,0))"),"")</f>
        <v/>
      </c>
      <c r="G107" s="47" t="str">
        <f>IFERROR(__xludf.DUMMYFUNCTION("IF($B107="""","""",IF(SUMPRODUCT((RASTREABILIDADE!$A$2:$A$2000=""C2"")*(RASTREABILIDADE!$F$2:$F$2000=""Sim"")*REGEXMATCH(RASTREABILIDADE!$E$2:$E$2000,""(^|[^A-Za-z0-9])""&amp;$B107&amp;""($|[^A-Za-z0-9])"")*(((RESUMO!$B$5=""Todas"")+(RASTREABILIDADE!$C$2:$C$2000="&amp;"RESUMO!$B$5))&gt;0)*(((RESUMO!$B$6=""Todas"")+(RASTREABILIDADE!$B$2:$B$2000=RESUMO!$B$6))&gt;0))&gt;0,1,0))"),"")</f>
        <v/>
      </c>
      <c r="H107" s="47" t="str">
        <f>IF(OR($C107="",$D107&lt;&gt;"Sim"),"",IF(COUNTIFS(RASTREABILIDADE!$A:$A,"C0",RASTREABILIDADE!$G:$G,$C107,RASTREABILIDADE!$H:$H,"Sim",RASTREABILIDADE!$C:$C,IF(RESUMO!$B$5="Todas","&lt;&gt;",RESUMO!$B$5),RASTREABILIDADE!$B:$B,IF(RESUMO!$B$6="Todas","&lt;&gt;",RESUMO!$B$6))&gt;0,1,0))</f>
        <v/>
      </c>
      <c r="I107" s="47" t="str">
        <f>IF(OR($C107="",$D107&lt;&gt;"Sim"),"",IF(COUNTIFS(RASTREABILIDADE!$A:$A,"C1",RASTREABILIDADE!$G:$G,$C107,RASTREABILIDADE!$H:$H,"Sim",RASTREABILIDADE!$C:$C,IF(RESUMO!$B$5="Todas","&lt;&gt;",RESUMO!$B$5),RASTREABILIDADE!$B:$B,IF(RESUMO!$B$6="Todas","&lt;&gt;",RESUMO!$B$6))&gt;0,1,0))</f>
        <v/>
      </c>
      <c r="J107" s="47" t="str">
        <f>IF(OR($C107="",$D107&lt;&gt;"Sim"),"",IF(COUNTIFS(RASTREABILIDADE!$A:$A,"C2",RASTREABILIDADE!$G:$G,$C107,RASTREABILIDADE!$H:$H,"Sim",RASTREABILIDADE!$C:$C,IF(RESUMO!$B$5="Todas","&lt;&gt;",RESUMO!$B$5),RASTREABILIDADE!$B:$B,IF(RESUMO!$B$6="Todas","&lt;&gt;",RESUMO!$B$6))&gt;0,1,0))</f>
        <v/>
      </c>
    </row>
    <row r="108" ht="15.75" customHeight="1">
      <c r="A108" s="47">
        <v>108.0</v>
      </c>
      <c r="B108" s="47" t="str">
        <f>IF(GABARITO!$B109="","",IF(COUNTIF(GABARITO!$B$4:$B109,GABARITO!$B109)=1,GABARITO!$B109,""))</f>
        <v/>
      </c>
      <c r="C108" s="47" t="str">
        <f>IF(GABARITO!$G109="","",GABARITO!$G109)</f>
        <v/>
      </c>
      <c r="D108" s="47" t="str">
        <f>IF(GABARITO!$J109="","",GABARITO!$J109)</f>
        <v/>
      </c>
      <c r="E108" s="47" t="str">
        <f>IFERROR(__xludf.DUMMYFUNCTION("IF($B108="""","""",IF(SUMPRODUCT((RASTREABILIDADE!$A$2:$A$2000=""C0"")*(RASTREABILIDADE!$F$2:$F$2000=""Sim"")*REGEXMATCH(RASTREABILIDADE!$E$2:$E$2000,""(^|[^A-Za-z0-9])""&amp;$B108&amp;""($|[^A-Za-z0-9])"")*(((RESUMO!$B$5=""Todas"")+(RASTREABILIDADE!$C$2:$C$2000="&amp;"RESUMO!$B$5))&gt;0)*(((RESUMO!$B$6=""Todas"")+(RASTREABILIDADE!$B$2:$B$2000=RESUMO!$B$6))&gt;0))&gt;0,1,0))"),"")</f>
        <v/>
      </c>
      <c r="F108" s="47" t="str">
        <f>IFERROR(__xludf.DUMMYFUNCTION("IF($B108="""","""",IF(SUMPRODUCT((RASTREABILIDADE!$A$2:$A$2000=""C1"")*(RASTREABILIDADE!$F$2:$F$2000=""Sim"")*REGEXMATCH(RASTREABILIDADE!$E$2:$E$2000,""(^|[^A-Za-z0-9])""&amp;$B108&amp;""($|[^A-Za-z0-9])"")*(((RESUMO!$B$5=""Todas"")+(RASTREABILIDADE!$C$2:$C$2000="&amp;"RESUMO!$B$5))&gt;0)*(((RESUMO!$B$6=""Todas"")+(RASTREABILIDADE!$B$2:$B$2000=RESUMO!$B$6))&gt;0))&gt;0,1,0))"),"")</f>
        <v/>
      </c>
      <c r="G108" s="47" t="str">
        <f>IFERROR(__xludf.DUMMYFUNCTION("IF($B108="""","""",IF(SUMPRODUCT((RASTREABILIDADE!$A$2:$A$2000=""C2"")*(RASTREABILIDADE!$F$2:$F$2000=""Sim"")*REGEXMATCH(RASTREABILIDADE!$E$2:$E$2000,""(^|[^A-Za-z0-9])""&amp;$B108&amp;""($|[^A-Za-z0-9])"")*(((RESUMO!$B$5=""Todas"")+(RASTREABILIDADE!$C$2:$C$2000="&amp;"RESUMO!$B$5))&gt;0)*(((RESUMO!$B$6=""Todas"")+(RASTREABILIDADE!$B$2:$B$2000=RESUMO!$B$6))&gt;0))&gt;0,1,0))"),"")</f>
        <v/>
      </c>
      <c r="H108" s="47" t="str">
        <f>IF(OR($C108="",$D108&lt;&gt;"Sim"),"",IF(COUNTIFS(RASTREABILIDADE!$A:$A,"C0",RASTREABILIDADE!$G:$G,$C108,RASTREABILIDADE!$H:$H,"Sim",RASTREABILIDADE!$C:$C,IF(RESUMO!$B$5="Todas","&lt;&gt;",RESUMO!$B$5),RASTREABILIDADE!$B:$B,IF(RESUMO!$B$6="Todas","&lt;&gt;",RESUMO!$B$6))&gt;0,1,0))</f>
        <v/>
      </c>
      <c r="I108" s="47" t="str">
        <f>IF(OR($C108="",$D108&lt;&gt;"Sim"),"",IF(COUNTIFS(RASTREABILIDADE!$A:$A,"C1",RASTREABILIDADE!$G:$G,$C108,RASTREABILIDADE!$H:$H,"Sim",RASTREABILIDADE!$C:$C,IF(RESUMO!$B$5="Todas","&lt;&gt;",RESUMO!$B$5),RASTREABILIDADE!$B:$B,IF(RESUMO!$B$6="Todas","&lt;&gt;",RESUMO!$B$6))&gt;0,1,0))</f>
        <v/>
      </c>
      <c r="J108" s="47" t="str">
        <f>IF(OR($C108="",$D108&lt;&gt;"Sim"),"",IF(COUNTIFS(RASTREABILIDADE!$A:$A,"C2",RASTREABILIDADE!$G:$G,$C108,RASTREABILIDADE!$H:$H,"Sim",RASTREABILIDADE!$C:$C,IF(RESUMO!$B$5="Todas","&lt;&gt;",RESUMO!$B$5),RASTREABILIDADE!$B:$B,IF(RESUMO!$B$6="Todas","&lt;&gt;",RESUMO!$B$6))&gt;0,1,0))</f>
        <v/>
      </c>
    </row>
    <row r="109" ht="15.75" customHeight="1">
      <c r="A109" s="47">
        <v>109.0</v>
      </c>
      <c r="B109" s="47" t="str">
        <f>IF(GABARITO!$B110="","",IF(COUNTIF(GABARITO!$B$4:$B110,GABARITO!$B110)=1,GABARITO!$B110,""))</f>
        <v/>
      </c>
      <c r="C109" s="47" t="str">
        <f>IF(GABARITO!$G110="","",GABARITO!$G110)</f>
        <v/>
      </c>
      <c r="D109" s="47" t="str">
        <f>IF(GABARITO!$J110="","",GABARITO!$J110)</f>
        <v/>
      </c>
      <c r="E109" s="47" t="str">
        <f>IFERROR(__xludf.DUMMYFUNCTION("IF($B109="""","""",IF(SUMPRODUCT((RASTREABILIDADE!$A$2:$A$2000=""C0"")*(RASTREABILIDADE!$F$2:$F$2000=""Sim"")*REGEXMATCH(RASTREABILIDADE!$E$2:$E$2000,""(^|[^A-Za-z0-9])""&amp;$B109&amp;""($|[^A-Za-z0-9])"")*(((RESUMO!$B$5=""Todas"")+(RASTREABILIDADE!$C$2:$C$2000="&amp;"RESUMO!$B$5))&gt;0)*(((RESUMO!$B$6=""Todas"")+(RASTREABILIDADE!$B$2:$B$2000=RESUMO!$B$6))&gt;0))&gt;0,1,0))"),"")</f>
        <v/>
      </c>
      <c r="F109" s="47" t="str">
        <f>IFERROR(__xludf.DUMMYFUNCTION("IF($B109="""","""",IF(SUMPRODUCT((RASTREABILIDADE!$A$2:$A$2000=""C1"")*(RASTREABILIDADE!$F$2:$F$2000=""Sim"")*REGEXMATCH(RASTREABILIDADE!$E$2:$E$2000,""(^|[^A-Za-z0-9])""&amp;$B109&amp;""($|[^A-Za-z0-9])"")*(((RESUMO!$B$5=""Todas"")+(RASTREABILIDADE!$C$2:$C$2000="&amp;"RESUMO!$B$5))&gt;0)*(((RESUMO!$B$6=""Todas"")+(RASTREABILIDADE!$B$2:$B$2000=RESUMO!$B$6))&gt;0))&gt;0,1,0))"),"")</f>
        <v/>
      </c>
      <c r="G109" s="47" t="str">
        <f>IFERROR(__xludf.DUMMYFUNCTION("IF($B109="""","""",IF(SUMPRODUCT((RASTREABILIDADE!$A$2:$A$2000=""C2"")*(RASTREABILIDADE!$F$2:$F$2000=""Sim"")*REGEXMATCH(RASTREABILIDADE!$E$2:$E$2000,""(^|[^A-Za-z0-9])""&amp;$B109&amp;""($|[^A-Za-z0-9])"")*(((RESUMO!$B$5=""Todas"")+(RASTREABILIDADE!$C$2:$C$2000="&amp;"RESUMO!$B$5))&gt;0)*(((RESUMO!$B$6=""Todas"")+(RASTREABILIDADE!$B$2:$B$2000=RESUMO!$B$6))&gt;0))&gt;0,1,0))"),"")</f>
        <v/>
      </c>
      <c r="H109" s="47" t="str">
        <f>IF(OR($C109="",$D109&lt;&gt;"Sim"),"",IF(COUNTIFS(RASTREABILIDADE!$A:$A,"C0",RASTREABILIDADE!$G:$G,$C109,RASTREABILIDADE!$H:$H,"Sim",RASTREABILIDADE!$C:$C,IF(RESUMO!$B$5="Todas","&lt;&gt;",RESUMO!$B$5),RASTREABILIDADE!$B:$B,IF(RESUMO!$B$6="Todas","&lt;&gt;",RESUMO!$B$6))&gt;0,1,0))</f>
        <v/>
      </c>
      <c r="I109" s="47" t="str">
        <f>IF(OR($C109="",$D109&lt;&gt;"Sim"),"",IF(COUNTIFS(RASTREABILIDADE!$A:$A,"C1",RASTREABILIDADE!$G:$G,$C109,RASTREABILIDADE!$H:$H,"Sim",RASTREABILIDADE!$C:$C,IF(RESUMO!$B$5="Todas","&lt;&gt;",RESUMO!$B$5),RASTREABILIDADE!$B:$B,IF(RESUMO!$B$6="Todas","&lt;&gt;",RESUMO!$B$6))&gt;0,1,0))</f>
        <v/>
      </c>
      <c r="J109" s="47" t="str">
        <f>IF(OR($C109="",$D109&lt;&gt;"Sim"),"",IF(COUNTIFS(RASTREABILIDADE!$A:$A,"C2",RASTREABILIDADE!$G:$G,$C109,RASTREABILIDADE!$H:$H,"Sim",RASTREABILIDADE!$C:$C,IF(RESUMO!$B$5="Todas","&lt;&gt;",RESUMO!$B$5),RASTREABILIDADE!$B:$B,IF(RESUMO!$B$6="Todas","&lt;&gt;",RESUMO!$B$6))&gt;0,1,0))</f>
        <v/>
      </c>
    </row>
    <row r="110" ht="15.75" customHeight="1">
      <c r="A110" s="47">
        <v>110.0</v>
      </c>
      <c r="B110" s="47" t="str">
        <f>IF(GABARITO!$B111="","",IF(COUNTIF(GABARITO!$B$4:$B111,GABARITO!$B111)=1,GABARITO!$B111,""))</f>
        <v/>
      </c>
      <c r="C110" s="47" t="str">
        <f>IF(GABARITO!$G111="","",GABARITO!$G111)</f>
        <v/>
      </c>
      <c r="D110" s="47" t="str">
        <f>IF(GABARITO!$J111="","",GABARITO!$J111)</f>
        <v/>
      </c>
      <c r="E110" s="47" t="str">
        <f>IFERROR(__xludf.DUMMYFUNCTION("IF($B110="""","""",IF(SUMPRODUCT((RASTREABILIDADE!$A$2:$A$2000=""C0"")*(RASTREABILIDADE!$F$2:$F$2000=""Sim"")*REGEXMATCH(RASTREABILIDADE!$E$2:$E$2000,""(^|[^A-Za-z0-9])""&amp;$B110&amp;""($|[^A-Za-z0-9])"")*(((RESUMO!$B$5=""Todas"")+(RASTREABILIDADE!$C$2:$C$2000="&amp;"RESUMO!$B$5))&gt;0)*(((RESUMO!$B$6=""Todas"")+(RASTREABILIDADE!$B$2:$B$2000=RESUMO!$B$6))&gt;0))&gt;0,1,0))"),"")</f>
        <v/>
      </c>
      <c r="F110" s="47" t="str">
        <f>IFERROR(__xludf.DUMMYFUNCTION("IF($B110="""","""",IF(SUMPRODUCT((RASTREABILIDADE!$A$2:$A$2000=""C1"")*(RASTREABILIDADE!$F$2:$F$2000=""Sim"")*REGEXMATCH(RASTREABILIDADE!$E$2:$E$2000,""(^|[^A-Za-z0-9])""&amp;$B110&amp;""($|[^A-Za-z0-9])"")*(((RESUMO!$B$5=""Todas"")+(RASTREABILIDADE!$C$2:$C$2000="&amp;"RESUMO!$B$5))&gt;0)*(((RESUMO!$B$6=""Todas"")+(RASTREABILIDADE!$B$2:$B$2000=RESUMO!$B$6))&gt;0))&gt;0,1,0))"),"")</f>
        <v/>
      </c>
      <c r="G110" s="47" t="str">
        <f>IFERROR(__xludf.DUMMYFUNCTION("IF($B110="""","""",IF(SUMPRODUCT((RASTREABILIDADE!$A$2:$A$2000=""C2"")*(RASTREABILIDADE!$F$2:$F$2000=""Sim"")*REGEXMATCH(RASTREABILIDADE!$E$2:$E$2000,""(^|[^A-Za-z0-9])""&amp;$B110&amp;""($|[^A-Za-z0-9])"")*(((RESUMO!$B$5=""Todas"")+(RASTREABILIDADE!$C$2:$C$2000="&amp;"RESUMO!$B$5))&gt;0)*(((RESUMO!$B$6=""Todas"")+(RASTREABILIDADE!$B$2:$B$2000=RESUMO!$B$6))&gt;0))&gt;0,1,0))"),"")</f>
        <v/>
      </c>
      <c r="H110" s="47" t="str">
        <f>IF(OR($C110="",$D110&lt;&gt;"Sim"),"",IF(COUNTIFS(RASTREABILIDADE!$A:$A,"C0",RASTREABILIDADE!$G:$G,$C110,RASTREABILIDADE!$H:$H,"Sim",RASTREABILIDADE!$C:$C,IF(RESUMO!$B$5="Todas","&lt;&gt;",RESUMO!$B$5),RASTREABILIDADE!$B:$B,IF(RESUMO!$B$6="Todas","&lt;&gt;",RESUMO!$B$6))&gt;0,1,0))</f>
        <v/>
      </c>
      <c r="I110" s="47" t="str">
        <f>IF(OR($C110="",$D110&lt;&gt;"Sim"),"",IF(COUNTIFS(RASTREABILIDADE!$A:$A,"C1",RASTREABILIDADE!$G:$G,$C110,RASTREABILIDADE!$H:$H,"Sim",RASTREABILIDADE!$C:$C,IF(RESUMO!$B$5="Todas","&lt;&gt;",RESUMO!$B$5),RASTREABILIDADE!$B:$B,IF(RESUMO!$B$6="Todas","&lt;&gt;",RESUMO!$B$6))&gt;0,1,0))</f>
        <v/>
      </c>
      <c r="J110" s="47" t="str">
        <f>IF(OR($C110="",$D110&lt;&gt;"Sim"),"",IF(COUNTIFS(RASTREABILIDADE!$A:$A,"C2",RASTREABILIDADE!$G:$G,$C110,RASTREABILIDADE!$H:$H,"Sim",RASTREABILIDADE!$C:$C,IF(RESUMO!$B$5="Todas","&lt;&gt;",RESUMO!$B$5),RASTREABILIDADE!$B:$B,IF(RESUMO!$B$6="Todas","&lt;&gt;",RESUMO!$B$6))&gt;0,1,0))</f>
        <v/>
      </c>
    </row>
    <row r="111" ht="15.75" customHeight="1">
      <c r="A111" s="47">
        <v>111.0</v>
      </c>
      <c r="B111" s="47" t="str">
        <f>IF(GABARITO!$B112="","",IF(COUNTIF(GABARITO!$B$4:$B112,GABARITO!$B112)=1,GABARITO!$B112,""))</f>
        <v/>
      </c>
      <c r="C111" s="47" t="str">
        <f>IF(GABARITO!$G112="","",GABARITO!$G112)</f>
        <v/>
      </c>
      <c r="D111" s="47" t="str">
        <f>IF(GABARITO!$J112="","",GABARITO!$J112)</f>
        <v/>
      </c>
      <c r="E111" s="47" t="str">
        <f>IFERROR(__xludf.DUMMYFUNCTION("IF($B111="""","""",IF(SUMPRODUCT((RASTREABILIDADE!$A$2:$A$2000=""C0"")*(RASTREABILIDADE!$F$2:$F$2000=""Sim"")*REGEXMATCH(RASTREABILIDADE!$E$2:$E$2000,""(^|[^A-Za-z0-9])""&amp;$B111&amp;""($|[^A-Za-z0-9])"")*(((RESUMO!$B$5=""Todas"")+(RASTREABILIDADE!$C$2:$C$2000="&amp;"RESUMO!$B$5))&gt;0)*(((RESUMO!$B$6=""Todas"")+(RASTREABILIDADE!$B$2:$B$2000=RESUMO!$B$6))&gt;0))&gt;0,1,0))"),"")</f>
        <v/>
      </c>
      <c r="F111" s="47" t="str">
        <f>IFERROR(__xludf.DUMMYFUNCTION("IF($B111="""","""",IF(SUMPRODUCT((RASTREABILIDADE!$A$2:$A$2000=""C1"")*(RASTREABILIDADE!$F$2:$F$2000=""Sim"")*REGEXMATCH(RASTREABILIDADE!$E$2:$E$2000,""(^|[^A-Za-z0-9])""&amp;$B111&amp;""($|[^A-Za-z0-9])"")*(((RESUMO!$B$5=""Todas"")+(RASTREABILIDADE!$C$2:$C$2000="&amp;"RESUMO!$B$5))&gt;0)*(((RESUMO!$B$6=""Todas"")+(RASTREABILIDADE!$B$2:$B$2000=RESUMO!$B$6))&gt;0))&gt;0,1,0))"),"")</f>
        <v/>
      </c>
      <c r="G111" s="47" t="str">
        <f>IFERROR(__xludf.DUMMYFUNCTION("IF($B111="""","""",IF(SUMPRODUCT((RASTREABILIDADE!$A$2:$A$2000=""C2"")*(RASTREABILIDADE!$F$2:$F$2000=""Sim"")*REGEXMATCH(RASTREABILIDADE!$E$2:$E$2000,""(^|[^A-Za-z0-9])""&amp;$B111&amp;""($|[^A-Za-z0-9])"")*(((RESUMO!$B$5=""Todas"")+(RASTREABILIDADE!$C$2:$C$2000="&amp;"RESUMO!$B$5))&gt;0)*(((RESUMO!$B$6=""Todas"")+(RASTREABILIDADE!$B$2:$B$2000=RESUMO!$B$6))&gt;0))&gt;0,1,0))"),"")</f>
        <v/>
      </c>
      <c r="H111" s="47" t="str">
        <f>IF(OR($C111="",$D111&lt;&gt;"Sim"),"",IF(COUNTIFS(RASTREABILIDADE!$A:$A,"C0",RASTREABILIDADE!$G:$G,$C111,RASTREABILIDADE!$H:$H,"Sim",RASTREABILIDADE!$C:$C,IF(RESUMO!$B$5="Todas","&lt;&gt;",RESUMO!$B$5),RASTREABILIDADE!$B:$B,IF(RESUMO!$B$6="Todas","&lt;&gt;",RESUMO!$B$6))&gt;0,1,0))</f>
        <v/>
      </c>
      <c r="I111" s="47" t="str">
        <f>IF(OR($C111="",$D111&lt;&gt;"Sim"),"",IF(COUNTIFS(RASTREABILIDADE!$A:$A,"C1",RASTREABILIDADE!$G:$G,$C111,RASTREABILIDADE!$H:$H,"Sim",RASTREABILIDADE!$C:$C,IF(RESUMO!$B$5="Todas","&lt;&gt;",RESUMO!$B$5),RASTREABILIDADE!$B:$B,IF(RESUMO!$B$6="Todas","&lt;&gt;",RESUMO!$B$6))&gt;0,1,0))</f>
        <v/>
      </c>
      <c r="J111" s="47" t="str">
        <f>IF(OR($C111="",$D111&lt;&gt;"Sim"),"",IF(COUNTIFS(RASTREABILIDADE!$A:$A,"C2",RASTREABILIDADE!$G:$G,$C111,RASTREABILIDADE!$H:$H,"Sim",RASTREABILIDADE!$C:$C,IF(RESUMO!$B$5="Todas","&lt;&gt;",RESUMO!$B$5),RASTREABILIDADE!$B:$B,IF(RESUMO!$B$6="Todas","&lt;&gt;",RESUMO!$B$6))&gt;0,1,0))</f>
        <v/>
      </c>
    </row>
    <row r="112" ht="15.75" customHeight="1">
      <c r="A112" s="47">
        <v>112.0</v>
      </c>
      <c r="B112" s="47" t="str">
        <f>IF(GABARITO!$B113="","",IF(COUNTIF(GABARITO!$B$4:$B113,GABARITO!$B113)=1,GABARITO!$B113,""))</f>
        <v/>
      </c>
      <c r="C112" s="47" t="str">
        <f>IF(GABARITO!$G113="","",GABARITO!$G113)</f>
        <v/>
      </c>
      <c r="D112" s="47" t="str">
        <f>IF(GABARITO!$J113="","",GABARITO!$J113)</f>
        <v/>
      </c>
      <c r="E112" s="47" t="str">
        <f>IFERROR(__xludf.DUMMYFUNCTION("IF($B112="""","""",IF(SUMPRODUCT((RASTREABILIDADE!$A$2:$A$2000=""C0"")*(RASTREABILIDADE!$F$2:$F$2000=""Sim"")*REGEXMATCH(RASTREABILIDADE!$E$2:$E$2000,""(^|[^A-Za-z0-9])""&amp;$B112&amp;""($|[^A-Za-z0-9])"")*(((RESUMO!$B$5=""Todas"")+(RASTREABILIDADE!$C$2:$C$2000="&amp;"RESUMO!$B$5))&gt;0)*(((RESUMO!$B$6=""Todas"")+(RASTREABILIDADE!$B$2:$B$2000=RESUMO!$B$6))&gt;0))&gt;0,1,0))"),"")</f>
        <v/>
      </c>
      <c r="F112" s="47" t="str">
        <f>IFERROR(__xludf.DUMMYFUNCTION("IF($B112="""","""",IF(SUMPRODUCT((RASTREABILIDADE!$A$2:$A$2000=""C1"")*(RASTREABILIDADE!$F$2:$F$2000=""Sim"")*REGEXMATCH(RASTREABILIDADE!$E$2:$E$2000,""(^|[^A-Za-z0-9])""&amp;$B112&amp;""($|[^A-Za-z0-9])"")*(((RESUMO!$B$5=""Todas"")+(RASTREABILIDADE!$C$2:$C$2000="&amp;"RESUMO!$B$5))&gt;0)*(((RESUMO!$B$6=""Todas"")+(RASTREABILIDADE!$B$2:$B$2000=RESUMO!$B$6))&gt;0))&gt;0,1,0))"),"")</f>
        <v/>
      </c>
      <c r="G112" s="47" t="str">
        <f>IFERROR(__xludf.DUMMYFUNCTION("IF($B112="""","""",IF(SUMPRODUCT((RASTREABILIDADE!$A$2:$A$2000=""C2"")*(RASTREABILIDADE!$F$2:$F$2000=""Sim"")*REGEXMATCH(RASTREABILIDADE!$E$2:$E$2000,""(^|[^A-Za-z0-9])""&amp;$B112&amp;""($|[^A-Za-z0-9])"")*(((RESUMO!$B$5=""Todas"")+(RASTREABILIDADE!$C$2:$C$2000="&amp;"RESUMO!$B$5))&gt;0)*(((RESUMO!$B$6=""Todas"")+(RASTREABILIDADE!$B$2:$B$2000=RESUMO!$B$6))&gt;0))&gt;0,1,0))"),"")</f>
        <v/>
      </c>
      <c r="H112" s="47" t="str">
        <f>IF(OR($C112="",$D112&lt;&gt;"Sim"),"",IF(COUNTIFS(RASTREABILIDADE!$A:$A,"C0",RASTREABILIDADE!$G:$G,$C112,RASTREABILIDADE!$H:$H,"Sim",RASTREABILIDADE!$C:$C,IF(RESUMO!$B$5="Todas","&lt;&gt;",RESUMO!$B$5),RASTREABILIDADE!$B:$B,IF(RESUMO!$B$6="Todas","&lt;&gt;",RESUMO!$B$6))&gt;0,1,0))</f>
        <v/>
      </c>
      <c r="I112" s="47" t="str">
        <f>IF(OR($C112="",$D112&lt;&gt;"Sim"),"",IF(COUNTIFS(RASTREABILIDADE!$A:$A,"C1",RASTREABILIDADE!$G:$G,$C112,RASTREABILIDADE!$H:$H,"Sim",RASTREABILIDADE!$C:$C,IF(RESUMO!$B$5="Todas","&lt;&gt;",RESUMO!$B$5),RASTREABILIDADE!$B:$B,IF(RESUMO!$B$6="Todas","&lt;&gt;",RESUMO!$B$6))&gt;0,1,0))</f>
        <v/>
      </c>
      <c r="J112" s="47" t="str">
        <f>IF(OR($C112="",$D112&lt;&gt;"Sim"),"",IF(COUNTIFS(RASTREABILIDADE!$A:$A,"C2",RASTREABILIDADE!$G:$G,$C112,RASTREABILIDADE!$H:$H,"Sim",RASTREABILIDADE!$C:$C,IF(RESUMO!$B$5="Todas","&lt;&gt;",RESUMO!$B$5),RASTREABILIDADE!$B:$B,IF(RESUMO!$B$6="Todas","&lt;&gt;",RESUMO!$B$6))&gt;0,1,0))</f>
        <v/>
      </c>
    </row>
    <row r="113" ht="15.75" customHeight="1">
      <c r="A113" s="47">
        <v>113.0</v>
      </c>
      <c r="B113" s="47" t="str">
        <f>IF(GABARITO!$B114="","",IF(COUNTIF(GABARITO!$B$4:$B114,GABARITO!$B114)=1,GABARITO!$B114,""))</f>
        <v/>
      </c>
      <c r="C113" s="47" t="str">
        <f>IF(GABARITO!$G114="","",GABARITO!$G114)</f>
        <v/>
      </c>
      <c r="D113" s="47" t="str">
        <f>IF(GABARITO!$J114="","",GABARITO!$J114)</f>
        <v/>
      </c>
      <c r="E113" s="47" t="str">
        <f>IFERROR(__xludf.DUMMYFUNCTION("IF($B113="""","""",IF(SUMPRODUCT((RASTREABILIDADE!$A$2:$A$2000=""C0"")*(RASTREABILIDADE!$F$2:$F$2000=""Sim"")*REGEXMATCH(RASTREABILIDADE!$E$2:$E$2000,""(^|[^A-Za-z0-9])""&amp;$B113&amp;""($|[^A-Za-z0-9])"")*(((RESUMO!$B$5=""Todas"")+(RASTREABILIDADE!$C$2:$C$2000="&amp;"RESUMO!$B$5))&gt;0)*(((RESUMO!$B$6=""Todas"")+(RASTREABILIDADE!$B$2:$B$2000=RESUMO!$B$6))&gt;0))&gt;0,1,0))"),"")</f>
        <v/>
      </c>
      <c r="F113" s="47" t="str">
        <f>IFERROR(__xludf.DUMMYFUNCTION("IF($B113="""","""",IF(SUMPRODUCT((RASTREABILIDADE!$A$2:$A$2000=""C1"")*(RASTREABILIDADE!$F$2:$F$2000=""Sim"")*REGEXMATCH(RASTREABILIDADE!$E$2:$E$2000,""(^|[^A-Za-z0-9])""&amp;$B113&amp;""($|[^A-Za-z0-9])"")*(((RESUMO!$B$5=""Todas"")+(RASTREABILIDADE!$C$2:$C$2000="&amp;"RESUMO!$B$5))&gt;0)*(((RESUMO!$B$6=""Todas"")+(RASTREABILIDADE!$B$2:$B$2000=RESUMO!$B$6))&gt;0))&gt;0,1,0))"),"")</f>
        <v/>
      </c>
      <c r="G113" s="47" t="str">
        <f>IFERROR(__xludf.DUMMYFUNCTION("IF($B113="""","""",IF(SUMPRODUCT((RASTREABILIDADE!$A$2:$A$2000=""C2"")*(RASTREABILIDADE!$F$2:$F$2000=""Sim"")*REGEXMATCH(RASTREABILIDADE!$E$2:$E$2000,""(^|[^A-Za-z0-9])""&amp;$B113&amp;""($|[^A-Za-z0-9])"")*(((RESUMO!$B$5=""Todas"")+(RASTREABILIDADE!$C$2:$C$2000="&amp;"RESUMO!$B$5))&gt;0)*(((RESUMO!$B$6=""Todas"")+(RASTREABILIDADE!$B$2:$B$2000=RESUMO!$B$6))&gt;0))&gt;0,1,0))"),"")</f>
        <v/>
      </c>
      <c r="H113" s="47" t="str">
        <f>IF(OR($C113="",$D113&lt;&gt;"Sim"),"",IF(COUNTIFS(RASTREABILIDADE!$A:$A,"C0",RASTREABILIDADE!$G:$G,$C113,RASTREABILIDADE!$H:$H,"Sim",RASTREABILIDADE!$C:$C,IF(RESUMO!$B$5="Todas","&lt;&gt;",RESUMO!$B$5),RASTREABILIDADE!$B:$B,IF(RESUMO!$B$6="Todas","&lt;&gt;",RESUMO!$B$6))&gt;0,1,0))</f>
        <v/>
      </c>
      <c r="I113" s="47" t="str">
        <f>IF(OR($C113="",$D113&lt;&gt;"Sim"),"",IF(COUNTIFS(RASTREABILIDADE!$A:$A,"C1",RASTREABILIDADE!$G:$G,$C113,RASTREABILIDADE!$H:$H,"Sim",RASTREABILIDADE!$C:$C,IF(RESUMO!$B$5="Todas","&lt;&gt;",RESUMO!$B$5),RASTREABILIDADE!$B:$B,IF(RESUMO!$B$6="Todas","&lt;&gt;",RESUMO!$B$6))&gt;0,1,0))</f>
        <v/>
      </c>
      <c r="J113" s="47" t="str">
        <f>IF(OR($C113="",$D113&lt;&gt;"Sim"),"",IF(COUNTIFS(RASTREABILIDADE!$A:$A,"C2",RASTREABILIDADE!$G:$G,$C113,RASTREABILIDADE!$H:$H,"Sim",RASTREABILIDADE!$C:$C,IF(RESUMO!$B$5="Todas","&lt;&gt;",RESUMO!$B$5),RASTREABILIDADE!$B:$B,IF(RESUMO!$B$6="Todas","&lt;&gt;",RESUMO!$B$6))&gt;0,1,0))</f>
        <v/>
      </c>
    </row>
    <row r="114" ht="15.75" customHeight="1">
      <c r="A114" s="47">
        <v>114.0</v>
      </c>
      <c r="B114" s="47" t="str">
        <f>IF(GABARITO!$B115="","",IF(COUNTIF(GABARITO!$B$4:$B115,GABARITO!$B115)=1,GABARITO!$B115,""))</f>
        <v/>
      </c>
      <c r="C114" s="47" t="str">
        <f>IF(GABARITO!$G115="","",GABARITO!$G115)</f>
        <v/>
      </c>
      <c r="D114" s="47" t="str">
        <f>IF(GABARITO!$J115="","",GABARITO!$J115)</f>
        <v/>
      </c>
      <c r="E114" s="47" t="str">
        <f>IFERROR(__xludf.DUMMYFUNCTION("IF($B114="""","""",IF(SUMPRODUCT((RASTREABILIDADE!$A$2:$A$2000=""C0"")*(RASTREABILIDADE!$F$2:$F$2000=""Sim"")*REGEXMATCH(RASTREABILIDADE!$E$2:$E$2000,""(^|[^A-Za-z0-9])""&amp;$B114&amp;""($|[^A-Za-z0-9])"")*(((RESUMO!$B$5=""Todas"")+(RASTREABILIDADE!$C$2:$C$2000="&amp;"RESUMO!$B$5))&gt;0)*(((RESUMO!$B$6=""Todas"")+(RASTREABILIDADE!$B$2:$B$2000=RESUMO!$B$6))&gt;0))&gt;0,1,0))"),"")</f>
        <v/>
      </c>
      <c r="F114" s="47" t="str">
        <f>IFERROR(__xludf.DUMMYFUNCTION("IF($B114="""","""",IF(SUMPRODUCT((RASTREABILIDADE!$A$2:$A$2000=""C1"")*(RASTREABILIDADE!$F$2:$F$2000=""Sim"")*REGEXMATCH(RASTREABILIDADE!$E$2:$E$2000,""(^|[^A-Za-z0-9])""&amp;$B114&amp;""($|[^A-Za-z0-9])"")*(((RESUMO!$B$5=""Todas"")+(RASTREABILIDADE!$C$2:$C$2000="&amp;"RESUMO!$B$5))&gt;0)*(((RESUMO!$B$6=""Todas"")+(RASTREABILIDADE!$B$2:$B$2000=RESUMO!$B$6))&gt;0))&gt;0,1,0))"),"")</f>
        <v/>
      </c>
      <c r="G114" s="47" t="str">
        <f>IFERROR(__xludf.DUMMYFUNCTION("IF($B114="""","""",IF(SUMPRODUCT((RASTREABILIDADE!$A$2:$A$2000=""C2"")*(RASTREABILIDADE!$F$2:$F$2000=""Sim"")*REGEXMATCH(RASTREABILIDADE!$E$2:$E$2000,""(^|[^A-Za-z0-9])""&amp;$B114&amp;""($|[^A-Za-z0-9])"")*(((RESUMO!$B$5=""Todas"")+(RASTREABILIDADE!$C$2:$C$2000="&amp;"RESUMO!$B$5))&gt;0)*(((RESUMO!$B$6=""Todas"")+(RASTREABILIDADE!$B$2:$B$2000=RESUMO!$B$6))&gt;0))&gt;0,1,0))"),"")</f>
        <v/>
      </c>
      <c r="H114" s="47" t="str">
        <f>IF(OR($C114="",$D114&lt;&gt;"Sim"),"",IF(COUNTIFS(RASTREABILIDADE!$A:$A,"C0",RASTREABILIDADE!$G:$G,$C114,RASTREABILIDADE!$H:$H,"Sim",RASTREABILIDADE!$C:$C,IF(RESUMO!$B$5="Todas","&lt;&gt;",RESUMO!$B$5),RASTREABILIDADE!$B:$B,IF(RESUMO!$B$6="Todas","&lt;&gt;",RESUMO!$B$6))&gt;0,1,0))</f>
        <v/>
      </c>
      <c r="I114" s="47" t="str">
        <f>IF(OR($C114="",$D114&lt;&gt;"Sim"),"",IF(COUNTIFS(RASTREABILIDADE!$A:$A,"C1",RASTREABILIDADE!$G:$G,$C114,RASTREABILIDADE!$H:$H,"Sim",RASTREABILIDADE!$C:$C,IF(RESUMO!$B$5="Todas","&lt;&gt;",RESUMO!$B$5),RASTREABILIDADE!$B:$B,IF(RESUMO!$B$6="Todas","&lt;&gt;",RESUMO!$B$6))&gt;0,1,0))</f>
        <v/>
      </c>
      <c r="J114" s="47" t="str">
        <f>IF(OR($C114="",$D114&lt;&gt;"Sim"),"",IF(COUNTIFS(RASTREABILIDADE!$A:$A,"C2",RASTREABILIDADE!$G:$G,$C114,RASTREABILIDADE!$H:$H,"Sim",RASTREABILIDADE!$C:$C,IF(RESUMO!$B$5="Todas","&lt;&gt;",RESUMO!$B$5),RASTREABILIDADE!$B:$B,IF(RESUMO!$B$6="Todas","&lt;&gt;",RESUMO!$B$6))&gt;0,1,0))</f>
        <v/>
      </c>
    </row>
    <row r="115" ht="15.75" customHeight="1">
      <c r="A115" s="47">
        <v>115.0</v>
      </c>
      <c r="B115" s="47" t="str">
        <f>IF(GABARITO!$B116="","",IF(COUNTIF(GABARITO!$B$4:$B116,GABARITO!$B116)=1,GABARITO!$B116,""))</f>
        <v/>
      </c>
      <c r="C115" s="47" t="str">
        <f>IF(GABARITO!$G116="","",GABARITO!$G116)</f>
        <v/>
      </c>
      <c r="D115" s="47" t="str">
        <f>IF(GABARITO!$J116="","",GABARITO!$J116)</f>
        <v/>
      </c>
      <c r="E115" s="47" t="str">
        <f>IFERROR(__xludf.DUMMYFUNCTION("IF($B115="""","""",IF(SUMPRODUCT((RASTREABILIDADE!$A$2:$A$2000=""C0"")*(RASTREABILIDADE!$F$2:$F$2000=""Sim"")*REGEXMATCH(RASTREABILIDADE!$E$2:$E$2000,""(^|[^A-Za-z0-9])""&amp;$B115&amp;""($|[^A-Za-z0-9])"")*(((RESUMO!$B$5=""Todas"")+(RASTREABILIDADE!$C$2:$C$2000="&amp;"RESUMO!$B$5))&gt;0)*(((RESUMO!$B$6=""Todas"")+(RASTREABILIDADE!$B$2:$B$2000=RESUMO!$B$6))&gt;0))&gt;0,1,0))"),"")</f>
        <v/>
      </c>
      <c r="F115" s="47" t="str">
        <f>IFERROR(__xludf.DUMMYFUNCTION("IF($B115="""","""",IF(SUMPRODUCT((RASTREABILIDADE!$A$2:$A$2000=""C1"")*(RASTREABILIDADE!$F$2:$F$2000=""Sim"")*REGEXMATCH(RASTREABILIDADE!$E$2:$E$2000,""(^|[^A-Za-z0-9])""&amp;$B115&amp;""($|[^A-Za-z0-9])"")*(((RESUMO!$B$5=""Todas"")+(RASTREABILIDADE!$C$2:$C$2000="&amp;"RESUMO!$B$5))&gt;0)*(((RESUMO!$B$6=""Todas"")+(RASTREABILIDADE!$B$2:$B$2000=RESUMO!$B$6))&gt;0))&gt;0,1,0))"),"")</f>
        <v/>
      </c>
      <c r="G115" s="47" t="str">
        <f>IFERROR(__xludf.DUMMYFUNCTION("IF($B115="""","""",IF(SUMPRODUCT((RASTREABILIDADE!$A$2:$A$2000=""C2"")*(RASTREABILIDADE!$F$2:$F$2000=""Sim"")*REGEXMATCH(RASTREABILIDADE!$E$2:$E$2000,""(^|[^A-Za-z0-9])""&amp;$B115&amp;""($|[^A-Za-z0-9])"")*(((RESUMO!$B$5=""Todas"")+(RASTREABILIDADE!$C$2:$C$2000="&amp;"RESUMO!$B$5))&gt;0)*(((RESUMO!$B$6=""Todas"")+(RASTREABILIDADE!$B$2:$B$2000=RESUMO!$B$6))&gt;0))&gt;0,1,0))"),"")</f>
        <v/>
      </c>
      <c r="H115" s="47" t="str">
        <f>IF(OR($C115="",$D115&lt;&gt;"Sim"),"",IF(COUNTIFS(RASTREABILIDADE!$A:$A,"C0",RASTREABILIDADE!$G:$G,$C115,RASTREABILIDADE!$H:$H,"Sim",RASTREABILIDADE!$C:$C,IF(RESUMO!$B$5="Todas","&lt;&gt;",RESUMO!$B$5),RASTREABILIDADE!$B:$B,IF(RESUMO!$B$6="Todas","&lt;&gt;",RESUMO!$B$6))&gt;0,1,0))</f>
        <v/>
      </c>
      <c r="I115" s="47" t="str">
        <f>IF(OR($C115="",$D115&lt;&gt;"Sim"),"",IF(COUNTIFS(RASTREABILIDADE!$A:$A,"C1",RASTREABILIDADE!$G:$G,$C115,RASTREABILIDADE!$H:$H,"Sim",RASTREABILIDADE!$C:$C,IF(RESUMO!$B$5="Todas","&lt;&gt;",RESUMO!$B$5),RASTREABILIDADE!$B:$B,IF(RESUMO!$B$6="Todas","&lt;&gt;",RESUMO!$B$6))&gt;0,1,0))</f>
        <v/>
      </c>
      <c r="J115" s="47" t="str">
        <f>IF(OR($C115="",$D115&lt;&gt;"Sim"),"",IF(COUNTIFS(RASTREABILIDADE!$A:$A,"C2",RASTREABILIDADE!$G:$G,$C115,RASTREABILIDADE!$H:$H,"Sim",RASTREABILIDADE!$C:$C,IF(RESUMO!$B$5="Todas","&lt;&gt;",RESUMO!$B$5),RASTREABILIDADE!$B:$B,IF(RESUMO!$B$6="Todas","&lt;&gt;",RESUMO!$B$6))&gt;0,1,0))</f>
        <v/>
      </c>
    </row>
    <row r="116" ht="15.75" customHeight="1">
      <c r="A116" s="47">
        <v>116.0</v>
      </c>
      <c r="B116" s="47" t="str">
        <f>IF(GABARITO!$B117="","",IF(COUNTIF(GABARITO!$B$4:$B117,GABARITO!$B117)=1,GABARITO!$B117,""))</f>
        <v/>
      </c>
      <c r="C116" s="47" t="str">
        <f>IF(GABARITO!$G117="","",GABARITO!$G117)</f>
        <v/>
      </c>
      <c r="D116" s="47" t="str">
        <f>IF(GABARITO!$J117="","",GABARITO!$J117)</f>
        <v/>
      </c>
      <c r="E116" s="47" t="str">
        <f>IFERROR(__xludf.DUMMYFUNCTION("IF($B116="""","""",IF(SUMPRODUCT((RASTREABILIDADE!$A$2:$A$2000=""C0"")*(RASTREABILIDADE!$F$2:$F$2000=""Sim"")*REGEXMATCH(RASTREABILIDADE!$E$2:$E$2000,""(^|[^A-Za-z0-9])""&amp;$B116&amp;""($|[^A-Za-z0-9])"")*(((RESUMO!$B$5=""Todas"")+(RASTREABILIDADE!$C$2:$C$2000="&amp;"RESUMO!$B$5))&gt;0)*(((RESUMO!$B$6=""Todas"")+(RASTREABILIDADE!$B$2:$B$2000=RESUMO!$B$6))&gt;0))&gt;0,1,0))"),"")</f>
        <v/>
      </c>
      <c r="F116" s="47" t="str">
        <f>IFERROR(__xludf.DUMMYFUNCTION("IF($B116="""","""",IF(SUMPRODUCT((RASTREABILIDADE!$A$2:$A$2000=""C1"")*(RASTREABILIDADE!$F$2:$F$2000=""Sim"")*REGEXMATCH(RASTREABILIDADE!$E$2:$E$2000,""(^|[^A-Za-z0-9])""&amp;$B116&amp;""($|[^A-Za-z0-9])"")*(((RESUMO!$B$5=""Todas"")+(RASTREABILIDADE!$C$2:$C$2000="&amp;"RESUMO!$B$5))&gt;0)*(((RESUMO!$B$6=""Todas"")+(RASTREABILIDADE!$B$2:$B$2000=RESUMO!$B$6))&gt;0))&gt;0,1,0))"),"")</f>
        <v/>
      </c>
      <c r="G116" s="47" t="str">
        <f>IFERROR(__xludf.DUMMYFUNCTION("IF($B116="""","""",IF(SUMPRODUCT((RASTREABILIDADE!$A$2:$A$2000=""C2"")*(RASTREABILIDADE!$F$2:$F$2000=""Sim"")*REGEXMATCH(RASTREABILIDADE!$E$2:$E$2000,""(^|[^A-Za-z0-9])""&amp;$B116&amp;""($|[^A-Za-z0-9])"")*(((RESUMO!$B$5=""Todas"")+(RASTREABILIDADE!$C$2:$C$2000="&amp;"RESUMO!$B$5))&gt;0)*(((RESUMO!$B$6=""Todas"")+(RASTREABILIDADE!$B$2:$B$2000=RESUMO!$B$6))&gt;0))&gt;0,1,0))"),"")</f>
        <v/>
      </c>
      <c r="H116" s="47" t="str">
        <f>IF(OR($C116="",$D116&lt;&gt;"Sim"),"",IF(COUNTIFS(RASTREABILIDADE!$A:$A,"C0",RASTREABILIDADE!$G:$G,$C116,RASTREABILIDADE!$H:$H,"Sim",RASTREABILIDADE!$C:$C,IF(RESUMO!$B$5="Todas","&lt;&gt;",RESUMO!$B$5),RASTREABILIDADE!$B:$B,IF(RESUMO!$B$6="Todas","&lt;&gt;",RESUMO!$B$6))&gt;0,1,0))</f>
        <v/>
      </c>
      <c r="I116" s="47" t="str">
        <f>IF(OR($C116="",$D116&lt;&gt;"Sim"),"",IF(COUNTIFS(RASTREABILIDADE!$A:$A,"C1",RASTREABILIDADE!$G:$G,$C116,RASTREABILIDADE!$H:$H,"Sim",RASTREABILIDADE!$C:$C,IF(RESUMO!$B$5="Todas","&lt;&gt;",RESUMO!$B$5),RASTREABILIDADE!$B:$B,IF(RESUMO!$B$6="Todas","&lt;&gt;",RESUMO!$B$6))&gt;0,1,0))</f>
        <v/>
      </c>
      <c r="J116" s="47" t="str">
        <f>IF(OR($C116="",$D116&lt;&gt;"Sim"),"",IF(COUNTIFS(RASTREABILIDADE!$A:$A,"C2",RASTREABILIDADE!$G:$G,$C116,RASTREABILIDADE!$H:$H,"Sim",RASTREABILIDADE!$C:$C,IF(RESUMO!$B$5="Todas","&lt;&gt;",RESUMO!$B$5),RASTREABILIDADE!$B:$B,IF(RESUMO!$B$6="Todas","&lt;&gt;",RESUMO!$B$6))&gt;0,1,0))</f>
        <v/>
      </c>
    </row>
    <row r="117" ht="15.75" customHeight="1">
      <c r="A117" s="47">
        <v>117.0</v>
      </c>
      <c r="B117" s="47" t="str">
        <f>IF(GABARITO!$B118="","",IF(COUNTIF(GABARITO!$B$4:$B118,GABARITO!$B118)=1,GABARITO!$B118,""))</f>
        <v/>
      </c>
      <c r="C117" s="47" t="str">
        <f>IF(GABARITO!$G118="","",GABARITO!$G118)</f>
        <v/>
      </c>
      <c r="D117" s="47" t="str">
        <f>IF(GABARITO!$J118="","",GABARITO!$J118)</f>
        <v/>
      </c>
      <c r="E117" s="47" t="str">
        <f>IFERROR(__xludf.DUMMYFUNCTION("IF($B117="""","""",IF(SUMPRODUCT((RASTREABILIDADE!$A$2:$A$2000=""C0"")*(RASTREABILIDADE!$F$2:$F$2000=""Sim"")*REGEXMATCH(RASTREABILIDADE!$E$2:$E$2000,""(^|[^A-Za-z0-9])""&amp;$B117&amp;""($|[^A-Za-z0-9])"")*(((RESUMO!$B$5=""Todas"")+(RASTREABILIDADE!$C$2:$C$2000="&amp;"RESUMO!$B$5))&gt;0)*(((RESUMO!$B$6=""Todas"")+(RASTREABILIDADE!$B$2:$B$2000=RESUMO!$B$6))&gt;0))&gt;0,1,0))"),"")</f>
        <v/>
      </c>
      <c r="F117" s="47" t="str">
        <f>IFERROR(__xludf.DUMMYFUNCTION("IF($B117="""","""",IF(SUMPRODUCT((RASTREABILIDADE!$A$2:$A$2000=""C1"")*(RASTREABILIDADE!$F$2:$F$2000=""Sim"")*REGEXMATCH(RASTREABILIDADE!$E$2:$E$2000,""(^|[^A-Za-z0-9])""&amp;$B117&amp;""($|[^A-Za-z0-9])"")*(((RESUMO!$B$5=""Todas"")+(RASTREABILIDADE!$C$2:$C$2000="&amp;"RESUMO!$B$5))&gt;0)*(((RESUMO!$B$6=""Todas"")+(RASTREABILIDADE!$B$2:$B$2000=RESUMO!$B$6))&gt;0))&gt;0,1,0))"),"")</f>
        <v/>
      </c>
      <c r="G117" s="47" t="str">
        <f>IFERROR(__xludf.DUMMYFUNCTION("IF($B117="""","""",IF(SUMPRODUCT((RASTREABILIDADE!$A$2:$A$2000=""C2"")*(RASTREABILIDADE!$F$2:$F$2000=""Sim"")*REGEXMATCH(RASTREABILIDADE!$E$2:$E$2000,""(^|[^A-Za-z0-9])""&amp;$B117&amp;""($|[^A-Za-z0-9])"")*(((RESUMO!$B$5=""Todas"")+(RASTREABILIDADE!$C$2:$C$2000="&amp;"RESUMO!$B$5))&gt;0)*(((RESUMO!$B$6=""Todas"")+(RASTREABILIDADE!$B$2:$B$2000=RESUMO!$B$6))&gt;0))&gt;0,1,0))"),"")</f>
        <v/>
      </c>
      <c r="H117" s="47" t="str">
        <f>IF(OR($C117="",$D117&lt;&gt;"Sim"),"",IF(COUNTIFS(RASTREABILIDADE!$A:$A,"C0",RASTREABILIDADE!$G:$G,$C117,RASTREABILIDADE!$H:$H,"Sim",RASTREABILIDADE!$C:$C,IF(RESUMO!$B$5="Todas","&lt;&gt;",RESUMO!$B$5),RASTREABILIDADE!$B:$B,IF(RESUMO!$B$6="Todas","&lt;&gt;",RESUMO!$B$6))&gt;0,1,0))</f>
        <v/>
      </c>
      <c r="I117" s="47" t="str">
        <f>IF(OR($C117="",$D117&lt;&gt;"Sim"),"",IF(COUNTIFS(RASTREABILIDADE!$A:$A,"C1",RASTREABILIDADE!$G:$G,$C117,RASTREABILIDADE!$H:$H,"Sim",RASTREABILIDADE!$C:$C,IF(RESUMO!$B$5="Todas","&lt;&gt;",RESUMO!$B$5),RASTREABILIDADE!$B:$B,IF(RESUMO!$B$6="Todas","&lt;&gt;",RESUMO!$B$6))&gt;0,1,0))</f>
        <v/>
      </c>
      <c r="J117" s="47" t="str">
        <f>IF(OR($C117="",$D117&lt;&gt;"Sim"),"",IF(COUNTIFS(RASTREABILIDADE!$A:$A,"C2",RASTREABILIDADE!$G:$G,$C117,RASTREABILIDADE!$H:$H,"Sim",RASTREABILIDADE!$C:$C,IF(RESUMO!$B$5="Todas","&lt;&gt;",RESUMO!$B$5),RASTREABILIDADE!$B:$B,IF(RESUMO!$B$6="Todas","&lt;&gt;",RESUMO!$B$6))&gt;0,1,0))</f>
        <v/>
      </c>
    </row>
    <row r="118" ht="15.75" customHeight="1">
      <c r="A118" s="47">
        <v>118.0</v>
      </c>
      <c r="B118" s="47" t="str">
        <f>IF(GABARITO!$B119="","",IF(COUNTIF(GABARITO!$B$4:$B119,GABARITO!$B119)=1,GABARITO!$B119,""))</f>
        <v/>
      </c>
      <c r="C118" s="47" t="str">
        <f>IF(GABARITO!$G119="","",GABARITO!$G119)</f>
        <v/>
      </c>
      <c r="D118" s="47" t="str">
        <f>IF(GABARITO!$J119="","",GABARITO!$J119)</f>
        <v/>
      </c>
      <c r="E118" s="47" t="str">
        <f>IFERROR(__xludf.DUMMYFUNCTION("IF($B118="""","""",IF(SUMPRODUCT((RASTREABILIDADE!$A$2:$A$2000=""C0"")*(RASTREABILIDADE!$F$2:$F$2000=""Sim"")*REGEXMATCH(RASTREABILIDADE!$E$2:$E$2000,""(^|[^A-Za-z0-9])""&amp;$B118&amp;""($|[^A-Za-z0-9])"")*(((RESUMO!$B$5=""Todas"")+(RASTREABILIDADE!$C$2:$C$2000="&amp;"RESUMO!$B$5))&gt;0)*(((RESUMO!$B$6=""Todas"")+(RASTREABILIDADE!$B$2:$B$2000=RESUMO!$B$6))&gt;0))&gt;0,1,0))"),"")</f>
        <v/>
      </c>
      <c r="F118" s="47" t="str">
        <f>IFERROR(__xludf.DUMMYFUNCTION("IF($B118="""","""",IF(SUMPRODUCT((RASTREABILIDADE!$A$2:$A$2000=""C1"")*(RASTREABILIDADE!$F$2:$F$2000=""Sim"")*REGEXMATCH(RASTREABILIDADE!$E$2:$E$2000,""(^|[^A-Za-z0-9])""&amp;$B118&amp;""($|[^A-Za-z0-9])"")*(((RESUMO!$B$5=""Todas"")+(RASTREABILIDADE!$C$2:$C$2000="&amp;"RESUMO!$B$5))&gt;0)*(((RESUMO!$B$6=""Todas"")+(RASTREABILIDADE!$B$2:$B$2000=RESUMO!$B$6))&gt;0))&gt;0,1,0))"),"")</f>
        <v/>
      </c>
      <c r="G118" s="47" t="str">
        <f>IFERROR(__xludf.DUMMYFUNCTION("IF($B118="""","""",IF(SUMPRODUCT((RASTREABILIDADE!$A$2:$A$2000=""C2"")*(RASTREABILIDADE!$F$2:$F$2000=""Sim"")*REGEXMATCH(RASTREABILIDADE!$E$2:$E$2000,""(^|[^A-Za-z0-9])""&amp;$B118&amp;""($|[^A-Za-z0-9])"")*(((RESUMO!$B$5=""Todas"")+(RASTREABILIDADE!$C$2:$C$2000="&amp;"RESUMO!$B$5))&gt;0)*(((RESUMO!$B$6=""Todas"")+(RASTREABILIDADE!$B$2:$B$2000=RESUMO!$B$6))&gt;0))&gt;0,1,0))"),"")</f>
        <v/>
      </c>
      <c r="H118" s="47" t="str">
        <f>IF(OR($C118="",$D118&lt;&gt;"Sim"),"",IF(COUNTIFS(RASTREABILIDADE!$A:$A,"C0",RASTREABILIDADE!$G:$G,$C118,RASTREABILIDADE!$H:$H,"Sim",RASTREABILIDADE!$C:$C,IF(RESUMO!$B$5="Todas","&lt;&gt;",RESUMO!$B$5),RASTREABILIDADE!$B:$B,IF(RESUMO!$B$6="Todas","&lt;&gt;",RESUMO!$B$6))&gt;0,1,0))</f>
        <v/>
      </c>
      <c r="I118" s="47" t="str">
        <f>IF(OR($C118="",$D118&lt;&gt;"Sim"),"",IF(COUNTIFS(RASTREABILIDADE!$A:$A,"C1",RASTREABILIDADE!$G:$G,$C118,RASTREABILIDADE!$H:$H,"Sim",RASTREABILIDADE!$C:$C,IF(RESUMO!$B$5="Todas","&lt;&gt;",RESUMO!$B$5),RASTREABILIDADE!$B:$B,IF(RESUMO!$B$6="Todas","&lt;&gt;",RESUMO!$B$6))&gt;0,1,0))</f>
        <v/>
      </c>
      <c r="J118" s="47" t="str">
        <f>IF(OR($C118="",$D118&lt;&gt;"Sim"),"",IF(COUNTIFS(RASTREABILIDADE!$A:$A,"C2",RASTREABILIDADE!$G:$G,$C118,RASTREABILIDADE!$H:$H,"Sim",RASTREABILIDADE!$C:$C,IF(RESUMO!$B$5="Todas","&lt;&gt;",RESUMO!$B$5),RASTREABILIDADE!$B:$B,IF(RESUMO!$B$6="Todas","&lt;&gt;",RESUMO!$B$6))&gt;0,1,0))</f>
        <v/>
      </c>
    </row>
    <row r="119" ht="15.75" customHeight="1">
      <c r="A119" s="47">
        <v>119.0</v>
      </c>
      <c r="B119" s="47" t="str">
        <f>IF(GABARITO!$B120="","",IF(COUNTIF(GABARITO!$B$4:$B120,GABARITO!$B120)=1,GABARITO!$B120,""))</f>
        <v/>
      </c>
      <c r="C119" s="47" t="str">
        <f>IF(GABARITO!$G120="","",GABARITO!$G120)</f>
        <v/>
      </c>
      <c r="D119" s="47" t="str">
        <f>IF(GABARITO!$J120="","",GABARITO!$J120)</f>
        <v/>
      </c>
      <c r="E119" s="47" t="str">
        <f>IFERROR(__xludf.DUMMYFUNCTION("IF($B119="""","""",IF(SUMPRODUCT((RASTREABILIDADE!$A$2:$A$2000=""C0"")*(RASTREABILIDADE!$F$2:$F$2000=""Sim"")*REGEXMATCH(RASTREABILIDADE!$E$2:$E$2000,""(^|[^A-Za-z0-9])""&amp;$B119&amp;""($|[^A-Za-z0-9])"")*(((RESUMO!$B$5=""Todas"")+(RASTREABILIDADE!$C$2:$C$2000="&amp;"RESUMO!$B$5))&gt;0)*(((RESUMO!$B$6=""Todas"")+(RASTREABILIDADE!$B$2:$B$2000=RESUMO!$B$6))&gt;0))&gt;0,1,0))"),"")</f>
        <v/>
      </c>
      <c r="F119" s="47" t="str">
        <f>IFERROR(__xludf.DUMMYFUNCTION("IF($B119="""","""",IF(SUMPRODUCT((RASTREABILIDADE!$A$2:$A$2000=""C1"")*(RASTREABILIDADE!$F$2:$F$2000=""Sim"")*REGEXMATCH(RASTREABILIDADE!$E$2:$E$2000,""(^|[^A-Za-z0-9])""&amp;$B119&amp;""($|[^A-Za-z0-9])"")*(((RESUMO!$B$5=""Todas"")+(RASTREABILIDADE!$C$2:$C$2000="&amp;"RESUMO!$B$5))&gt;0)*(((RESUMO!$B$6=""Todas"")+(RASTREABILIDADE!$B$2:$B$2000=RESUMO!$B$6))&gt;0))&gt;0,1,0))"),"")</f>
        <v/>
      </c>
      <c r="G119" s="47" t="str">
        <f>IFERROR(__xludf.DUMMYFUNCTION("IF($B119="""","""",IF(SUMPRODUCT((RASTREABILIDADE!$A$2:$A$2000=""C2"")*(RASTREABILIDADE!$F$2:$F$2000=""Sim"")*REGEXMATCH(RASTREABILIDADE!$E$2:$E$2000,""(^|[^A-Za-z0-9])""&amp;$B119&amp;""($|[^A-Za-z0-9])"")*(((RESUMO!$B$5=""Todas"")+(RASTREABILIDADE!$C$2:$C$2000="&amp;"RESUMO!$B$5))&gt;0)*(((RESUMO!$B$6=""Todas"")+(RASTREABILIDADE!$B$2:$B$2000=RESUMO!$B$6))&gt;0))&gt;0,1,0))"),"")</f>
        <v/>
      </c>
      <c r="H119" s="47" t="str">
        <f>IF(OR($C119="",$D119&lt;&gt;"Sim"),"",IF(COUNTIFS(RASTREABILIDADE!$A:$A,"C0",RASTREABILIDADE!$G:$G,$C119,RASTREABILIDADE!$H:$H,"Sim",RASTREABILIDADE!$C:$C,IF(RESUMO!$B$5="Todas","&lt;&gt;",RESUMO!$B$5),RASTREABILIDADE!$B:$B,IF(RESUMO!$B$6="Todas","&lt;&gt;",RESUMO!$B$6))&gt;0,1,0))</f>
        <v/>
      </c>
      <c r="I119" s="47" t="str">
        <f>IF(OR($C119="",$D119&lt;&gt;"Sim"),"",IF(COUNTIFS(RASTREABILIDADE!$A:$A,"C1",RASTREABILIDADE!$G:$G,$C119,RASTREABILIDADE!$H:$H,"Sim",RASTREABILIDADE!$C:$C,IF(RESUMO!$B$5="Todas","&lt;&gt;",RESUMO!$B$5),RASTREABILIDADE!$B:$B,IF(RESUMO!$B$6="Todas","&lt;&gt;",RESUMO!$B$6))&gt;0,1,0))</f>
        <v/>
      </c>
      <c r="J119" s="47" t="str">
        <f>IF(OR($C119="",$D119&lt;&gt;"Sim"),"",IF(COUNTIFS(RASTREABILIDADE!$A:$A,"C2",RASTREABILIDADE!$G:$G,$C119,RASTREABILIDADE!$H:$H,"Sim",RASTREABILIDADE!$C:$C,IF(RESUMO!$B$5="Todas","&lt;&gt;",RESUMO!$B$5),RASTREABILIDADE!$B:$B,IF(RESUMO!$B$6="Todas","&lt;&gt;",RESUMO!$B$6))&gt;0,1,0))</f>
        <v/>
      </c>
    </row>
    <row r="120" ht="15.75" customHeight="1">
      <c r="A120" s="47">
        <v>120.0</v>
      </c>
      <c r="B120" s="47" t="str">
        <f>IF(GABARITO!$B121="","",IF(COUNTIF(GABARITO!$B$4:$B121,GABARITO!$B121)=1,GABARITO!$B121,""))</f>
        <v/>
      </c>
      <c r="C120" s="47" t="str">
        <f>IF(GABARITO!$G121="","",GABARITO!$G121)</f>
        <v/>
      </c>
      <c r="D120" s="47" t="str">
        <f>IF(GABARITO!$J121="","",GABARITO!$J121)</f>
        <v/>
      </c>
      <c r="E120" s="47" t="str">
        <f>IFERROR(__xludf.DUMMYFUNCTION("IF($B120="""","""",IF(SUMPRODUCT((RASTREABILIDADE!$A$2:$A$2000=""C0"")*(RASTREABILIDADE!$F$2:$F$2000=""Sim"")*REGEXMATCH(RASTREABILIDADE!$E$2:$E$2000,""(^|[^A-Za-z0-9])""&amp;$B120&amp;""($|[^A-Za-z0-9])"")*(((RESUMO!$B$5=""Todas"")+(RASTREABILIDADE!$C$2:$C$2000="&amp;"RESUMO!$B$5))&gt;0)*(((RESUMO!$B$6=""Todas"")+(RASTREABILIDADE!$B$2:$B$2000=RESUMO!$B$6))&gt;0))&gt;0,1,0))"),"")</f>
        <v/>
      </c>
      <c r="F120" s="47" t="str">
        <f>IFERROR(__xludf.DUMMYFUNCTION("IF($B120="""","""",IF(SUMPRODUCT((RASTREABILIDADE!$A$2:$A$2000=""C1"")*(RASTREABILIDADE!$F$2:$F$2000=""Sim"")*REGEXMATCH(RASTREABILIDADE!$E$2:$E$2000,""(^|[^A-Za-z0-9])""&amp;$B120&amp;""($|[^A-Za-z0-9])"")*(((RESUMO!$B$5=""Todas"")+(RASTREABILIDADE!$C$2:$C$2000="&amp;"RESUMO!$B$5))&gt;0)*(((RESUMO!$B$6=""Todas"")+(RASTREABILIDADE!$B$2:$B$2000=RESUMO!$B$6))&gt;0))&gt;0,1,0))"),"")</f>
        <v/>
      </c>
      <c r="G120" s="47" t="str">
        <f>IFERROR(__xludf.DUMMYFUNCTION("IF($B120="""","""",IF(SUMPRODUCT((RASTREABILIDADE!$A$2:$A$2000=""C2"")*(RASTREABILIDADE!$F$2:$F$2000=""Sim"")*REGEXMATCH(RASTREABILIDADE!$E$2:$E$2000,""(^|[^A-Za-z0-9])""&amp;$B120&amp;""($|[^A-Za-z0-9])"")*(((RESUMO!$B$5=""Todas"")+(RASTREABILIDADE!$C$2:$C$2000="&amp;"RESUMO!$B$5))&gt;0)*(((RESUMO!$B$6=""Todas"")+(RASTREABILIDADE!$B$2:$B$2000=RESUMO!$B$6))&gt;0))&gt;0,1,0))"),"")</f>
        <v/>
      </c>
      <c r="H120" s="47" t="str">
        <f>IF(OR($C120="",$D120&lt;&gt;"Sim"),"",IF(COUNTIFS(RASTREABILIDADE!$A:$A,"C0",RASTREABILIDADE!$G:$G,$C120,RASTREABILIDADE!$H:$H,"Sim",RASTREABILIDADE!$C:$C,IF(RESUMO!$B$5="Todas","&lt;&gt;",RESUMO!$B$5),RASTREABILIDADE!$B:$B,IF(RESUMO!$B$6="Todas","&lt;&gt;",RESUMO!$B$6))&gt;0,1,0))</f>
        <v/>
      </c>
      <c r="I120" s="47" t="str">
        <f>IF(OR($C120="",$D120&lt;&gt;"Sim"),"",IF(COUNTIFS(RASTREABILIDADE!$A:$A,"C1",RASTREABILIDADE!$G:$G,$C120,RASTREABILIDADE!$H:$H,"Sim",RASTREABILIDADE!$C:$C,IF(RESUMO!$B$5="Todas","&lt;&gt;",RESUMO!$B$5),RASTREABILIDADE!$B:$B,IF(RESUMO!$B$6="Todas","&lt;&gt;",RESUMO!$B$6))&gt;0,1,0))</f>
        <v/>
      </c>
      <c r="J120" s="47" t="str">
        <f>IF(OR($C120="",$D120&lt;&gt;"Sim"),"",IF(COUNTIFS(RASTREABILIDADE!$A:$A,"C2",RASTREABILIDADE!$G:$G,$C120,RASTREABILIDADE!$H:$H,"Sim",RASTREABILIDADE!$C:$C,IF(RESUMO!$B$5="Todas","&lt;&gt;",RESUMO!$B$5),RASTREABILIDADE!$B:$B,IF(RESUMO!$B$6="Todas","&lt;&gt;",RESUMO!$B$6))&gt;0,1,0))</f>
        <v/>
      </c>
    </row>
    <row r="121" ht="15.75" customHeight="1">
      <c r="A121" s="47">
        <v>121.0</v>
      </c>
      <c r="B121" s="47" t="str">
        <f>IF(GABARITO!$B122="","",IF(COUNTIF(GABARITO!$B$4:$B122,GABARITO!$B122)=1,GABARITO!$B122,""))</f>
        <v/>
      </c>
      <c r="C121" s="47" t="str">
        <f>IF(GABARITO!$G122="","",GABARITO!$G122)</f>
        <v/>
      </c>
      <c r="D121" s="47" t="str">
        <f>IF(GABARITO!$J122="","",GABARITO!$J122)</f>
        <v/>
      </c>
      <c r="E121" s="47" t="str">
        <f>IFERROR(__xludf.DUMMYFUNCTION("IF($B121="""","""",IF(SUMPRODUCT((RASTREABILIDADE!$A$2:$A$2000=""C0"")*(RASTREABILIDADE!$F$2:$F$2000=""Sim"")*REGEXMATCH(RASTREABILIDADE!$E$2:$E$2000,""(^|[^A-Za-z0-9])""&amp;$B121&amp;""($|[^A-Za-z0-9])"")*(((RESUMO!$B$5=""Todas"")+(RASTREABILIDADE!$C$2:$C$2000="&amp;"RESUMO!$B$5))&gt;0)*(((RESUMO!$B$6=""Todas"")+(RASTREABILIDADE!$B$2:$B$2000=RESUMO!$B$6))&gt;0))&gt;0,1,0))"),"")</f>
        <v/>
      </c>
      <c r="F121" s="47" t="str">
        <f>IFERROR(__xludf.DUMMYFUNCTION("IF($B121="""","""",IF(SUMPRODUCT((RASTREABILIDADE!$A$2:$A$2000=""C1"")*(RASTREABILIDADE!$F$2:$F$2000=""Sim"")*REGEXMATCH(RASTREABILIDADE!$E$2:$E$2000,""(^|[^A-Za-z0-9])""&amp;$B121&amp;""($|[^A-Za-z0-9])"")*(((RESUMO!$B$5=""Todas"")+(RASTREABILIDADE!$C$2:$C$2000="&amp;"RESUMO!$B$5))&gt;0)*(((RESUMO!$B$6=""Todas"")+(RASTREABILIDADE!$B$2:$B$2000=RESUMO!$B$6))&gt;0))&gt;0,1,0))"),"")</f>
        <v/>
      </c>
      <c r="G121" s="47" t="str">
        <f>IFERROR(__xludf.DUMMYFUNCTION("IF($B121="""","""",IF(SUMPRODUCT((RASTREABILIDADE!$A$2:$A$2000=""C2"")*(RASTREABILIDADE!$F$2:$F$2000=""Sim"")*REGEXMATCH(RASTREABILIDADE!$E$2:$E$2000,""(^|[^A-Za-z0-9])""&amp;$B121&amp;""($|[^A-Za-z0-9])"")*(((RESUMO!$B$5=""Todas"")+(RASTREABILIDADE!$C$2:$C$2000="&amp;"RESUMO!$B$5))&gt;0)*(((RESUMO!$B$6=""Todas"")+(RASTREABILIDADE!$B$2:$B$2000=RESUMO!$B$6))&gt;0))&gt;0,1,0))"),"")</f>
        <v/>
      </c>
      <c r="H121" s="47" t="str">
        <f>IF(OR($C121="",$D121&lt;&gt;"Sim"),"",IF(COUNTIFS(RASTREABILIDADE!$A:$A,"C0",RASTREABILIDADE!$G:$G,$C121,RASTREABILIDADE!$H:$H,"Sim",RASTREABILIDADE!$C:$C,IF(RESUMO!$B$5="Todas","&lt;&gt;",RESUMO!$B$5),RASTREABILIDADE!$B:$B,IF(RESUMO!$B$6="Todas","&lt;&gt;",RESUMO!$B$6))&gt;0,1,0))</f>
        <v/>
      </c>
      <c r="I121" s="47" t="str">
        <f>IF(OR($C121="",$D121&lt;&gt;"Sim"),"",IF(COUNTIFS(RASTREABILIDADE!$A:$A,"C1",RASTREABILIDADE!$G:$G,$C121,RASTREABILIDADE!$H:$H,"Sim",RASTREABILIDADE!$C:$C,IF(RESUMO!$B$5="Todas","&lt;&gt;",RESUMO!$B$5),RASTREABILIDADE!$B:$B,IF(RESUMO!$B$6="Todas","&lt;&gt;",RESUMO!$B$6))&gt;0,1,0))</f>
        <v/>
      </c>
      <c r="J121" s="47" t="str">
        <f>IF(OR($C121="",$D121&lt;&gt;"Sim"),"",IF(COUNTIFS(RASTREABILIDADE!$A:$A,"C2",RASTREABILIDADE!$G:$G,$C121,RASTREABILIDADE!$H:$H,"Sim",RASTREABILIDADE!$C:$C,IF(RESUMO!$B$5="Todas","&lt;&gt;",RESUMO!$B$5),RASTREABILIDADE!$B:$B,IF(RESUMO!$B$6="Todas","&lt;&gt;",RESUMO!$B$6))&gt;0,1,0))</f>
        <v/>
      </c>
    </row>
    <row r="122" ht="15.75" customHeight="1">
      <c r="A122" s="47">
        <v>122.0</v>
      </c>
      <c r="B122" s="47" t="str">
        <f>IF(GABARITO!$B123="","",IF(COUNTIF(GABARITO!$B$4:$B123,GABARITO!$B123)=1,GABARITO!$B123,""))</f>
        <v/>
      </c>
      <c r="C122" s="47" t="str">
        <f>IF(GABARITO!$G123="","",GABARITO!$G123)</f>
        <v/>
      </c>
      <c r="D122" s="47" t="str">
        <f>IF(GABARITO!$J123="","",GABARITO!$J123)</f>
        <v/>
      </c>
      <c r="E122" s="47" t="str">
        <f>IFERROR(__xludf.DUMMYFUNCTION("IF($B122="""","""",IF(SUMPRODUCT((RASTREABILIDADE!$A$2:$A$2000=""C0"")*(RASTREABILIDADE!$F$2:$F$2000=""Sim"")*REGEXMATCH(RASTREABILIDADE!$E$2:$E$2000,""(^|[^A-Za-z0-9])""&amp;$B122&amp;""($|[^A-Za-z0-9])"")*(((RESUMO!$B$5=""Todas"")+(RASTREABILIDADE!$C$2:$C$2000="&amp;"RESUMO!$B$5))&gt;0)*(((RESUMO!$B$6=""Todas"")+(RASTREABILIDADE!$B$2:$B$2000=RESUMO!$B$6))&gt;0))&gt;0,1,0))"),"")</f>
        <v/>
      </c>
      <c r="F122" s="47" t="str">
        <f>IFERROR(__xludf.DUMMYFUNCTION("IF($B122="""","""",IF(SUMPRODUCT((RASTREABILIDADE!$A$2:$A$2000=""C1"")*(RASTREABILIDADE!$F$2:$F$2000=""Sim"")*REGEXMATCH(RASTREABILIDADE!$E$2:$E$2000,""(^|[^A-Za-z0-9])""&amp;$B122&amp;""($|[^A-Za-z0-9])"")*(((RESUMO!$B$5=""Todas"")+(RASTREABILIDADE!$C$2:$C$2000="&amp;"RESUMO!$B$5))&gt;0)*(((RESUMO!$B$6=""Todas"")+(RASTREABILIDADE!$B$2:$B$2000=RESUMO!$B$6))&gt;0))&gt;0,1,0))"),"")</f>
        <v/>
      </c>
      <c r="G122" s="47" t="str">
        <f>IFERROR(__xludf.DUMMYFUNCTION("IF($B122="""","""",IF(SUMPRODUCT((RASTREABILIDADE!$A$2:$A$2000=""C2"")*(RASTREABILIDADE!$F$2:$F$2000=""Sim"")*REGEXMATCH(RASTREABILIDADE!$E$2:$E$2000,""(^|[^A-Za-z0-9])""&amp;$B122&amp;""($|[^A-Za-z0-9])"")*(((RESUMO!$B$5=""Todas"")+(RASTREABILIDADE!$C$2:$C$2000="&amp;"RESUMO!$B$5))&gt;0)*(((RESUMO!$B$6=""Todas"")+(RASTREABILIDADE!$B$2:$B$2000=RESUMO!$B$6))&gt;0))&gt;0,1,0))"),"")</f>
        <v/>
      </c>
      <c r="H122" s="47" t="str">
        <f>IF(OR($C122="",$D122&lt;&gt;"Sim"),"",IF(COUNTIFS(RASTREABILIDADE!$A:$A,"C0",RASTREABILIDADE!$G:$G,$C122,RASTREABILIDADE!$H:$H,"Sim",RASTREABILIDADE!$C:$C,IF(RESUMO!$B$5="Todas","&lt;&gt;",RESUMO!$B$5),RASTREABILIDADE!$B:$B,IF(RESUMO!$B$6="Todas","&lt;&gt;",RESUMO!$B$6))&gt;0,1,0))</f>
        <v/>
      </c>
      <c r="I122" s="47" t="str">
        <f>IF(OR($C122="",$D122&lt;&gt;"Sim"),"",IF(COUNTIFS(RASTREABILIDADE!$A:$A,"C1",RASTREABILIDADE!$G:$G,$C122,RASTREABILIDADE!$H:$H,"Sim",RASTREABILIDADE!$C:$C,IF(RESUMO!$B$5="Todas","&lt;&gt;",RESUMO!$B$5),RASTREABILIDADE!$B:$B,IF(RESUMO!$B$6="Todas","&lt;&gt;",RESUMO!$B$6))&gt;0,1,0))</f>
        <v/>
      </c>
      <c r="J122" s="47" t="str">
        <f>IF(OR($C122="",$D122&lt;&gt;"Sim"),"",IF(COUNTIFS(RASTREABILIDADE!$A:$A,"C2",RASTREABILIDADE!$G:$G,$C122,RASTREABILIDADE!$H:$H,"Sim",RASTREABILIDADE!$C:$C,IF(RESUMO!$B$5="Todas","&lt;&gt;",RESUMO!$B$5),RASTREABILIDADE!$B:$B,IF(RESUMO!$B$6="Todas","&lt;&gt;",RESUMO!$B$6))&gt;0,1,0))</f>
        <v/>
      </c>
    </row>
    <row r="123" ht="15.75" customHeight="1">
      <c r="A123" s="47">
        <v>123.0</v>
      </c>
      <c r="B123" s="47" t="str">
        <f>IF(GABARITO!$B124="","",IF(COUNTIF(GABARITO!$B$4:$B124,GABARITO!$B124)=1,GABARITO!$B124,""))</f>
        <v/>
      </c>
      <c r="C123" s="47" t="str">
        <f>IF(GABARITO!$G124="","",GABARITO!$G124)</f>
        <v/>
      </c>
      <c r="D123" s="47" t="str">
        <f>IF(GABARITO!$J124="","",GABARITO!$J124)</f>
        <v/>
      </c>
      <c r="E123" s="47" t="str">
        <f>IFERROR(__xludf.DUMMYFUNCTION("IF($B123="""","""",IF(SUMPRODUCT((RASTREABILIDADE!$A$2:$A$2000=""C0"")*(RASTREABILIDADE!$F$2:$F$2000=""Sim"")*REGEXMATCH(RASTREABILIDADE!$E$2:$E$2000,""(^|[^A-Za-z0-9])""&amp;$B123&amp;""($|[^A-Za-z0-9])"")*(((RESUMO!$B$5=""Todas"")+(RASTREABILIDADE!$C$2:$C$2000="&amp;"RESUMO!$B$5))&gt;0)*(((RESUMO!$B$6=""Todas"")+(RASTREABILIDADE!$B$2:$B$2000=RESUMO!$B$6))&gt;0))&gt;0,1,0))"),"")</f>
        <v/>
      </c>
      <c r="F123" s="47" t="str">
        <f>IFERROR(__xludf.DUMMYFUNCTION("IF($B123="""","""",IF(SUMPRODUCT((RASTREABILIDADE!$A$2:$A$2000=""C1"")*(RASTREABILIDADE!$F$2:$F$2000=""Sim"")*REGEXMATCH(RASTREABILIDADE!$E$2:$E$2000,""(^|[^A-Za-z0-9])""&amp;$B123&amp;""($|[^A-Za-z0-9])"")*(((RESUMO!$B$5=""Todas"")+(RASTREABILIDADE!$C$2:$C$2000="&amp;"RESUMO!$B$5))&gt;0)*(((RESUMO!$B$6=""Todas"")+(RASTREABILIDADE!$B$2:$B$2000=RESUMO!$B$6))&gt;0))&gt;0,1,0))"),"")</f>
        <v/>
      </c>
      <c r="G123" s="47" t="str">
        <f>IFERROR(__xludf.DUMMYFUNCTION("IF($B123="""","""",IF(SUMPRODUCT((RASTREABILIDADE!$A$2:$A$2000=""C2"")*(RASTREABILIDADE!$F$2:$F$2000=""Sim"")*REGEXMATCH(RASTREABILIDADE!$E$2:$E$2000,""(^|[^A-Za-z0-9])""&amp;$B123&amp;""($|[^A-Za-z0-9])"")*(((RESUMO!$B$5=""Todas"")+(RASTREABILIDADE!$C$2:$C$2000="&amp;"RESUMO!$B$5))&gt;0)*(((RESUMO!$B$6=""Todas"")+(RASTREABILIDADE!$B$2:$B$2000=RESUMO!$B$6))&gt;0))&gt;0,1,0))"),"")</f>
        <v/>
      </c>
      <c r="H123" s="47" t="str">
        <f>IF(OR($C123="",$D123&lt;&gt;"Sim"),"",IF(COUNTIFS(RASTREABILIDADE!$A:$A,"C0",RASTREABILIDADE!$G:$G,$C123,RASTREABILIDADE!$H:$H,"Sim",RASTREABILIDADE!$C:$C,IF(RESUMO!$B$5="Todas","&lt;&gt;",RESUMO!$B$5),RASTREABILIDADE!$B:$B,IF(RESUMO!$B$6="Todas","&lt;&gt;",RESUMO!$B$6))&gt;0,1,0))</f>
        <v/>
      </c>
      <c r="I123" s="47" t="str">
        <f>IF(OR($C123="",$D123&lt;&gt;"Sim"),"",IF(COUNTIFS(RASTREABILIDADE!$A:$A,"C1",RASTREABILIDADE!$G:$G,$C123,RASTREABILIDADE!$H:$H,"Sim",RASTREABILIDADE!$C:$C,IF(RESUMO!$B$5="Todas","&lt;&gt;",RESUMO!$B$5),RASTREABILIDADE!$B:$B,IF(RESUMO!$B$6="Todas","&lt;&gt;",RESUMO!$B$6))&gt;0,1,0))</f>
        <v/>
      </c>
      <c r="J123" s="47" t="str">
        <f>IF(OR($C123="",$D123&lt;&gt;"Sim"),"",IF(COUNTIFS(RASTREABILIDADE!$A:$A,"C2",RASTREABILIDADE!$G:$G,$C123,RASTREABILIDADE!$H:$H,"Sim",RASTREABILIDADE!$C:$C,IF(RESUMO!$B$5="Todas","&lt;&gt;",RESUMO!$B$5),RASTREABILIDADE!$B:$B,IF(RESUMO!$B$6="Todas","&lt;&gt;",RESUMO!$B$6))&gt;0,1,0))</f>
        <v/>
      </c>
    </row>
    <row r="124" ht="15.75" customHeight="1">
      <c r="A124" s="47">
        <v>124.0</v>
      </c>
      <c r="B124" s="47" t="str">
        <f>IF(GABARITO!$B125="","",IF(COUNTIF(GABARITO!$B$4:$B125,GABARITO!$B125)=1,GABARITO!$B125,""))</f>
        <v/>
      </c>
      <c r="C124" s="47" t="str">
        <f>IF(GABARITO!$G125="","",GABARITO!$G125)</f>
        <v/>
      </c>
      <c r="D124" s="47" t="str">
        <f>IF(GABARITO!$J125="","",GABARITO!$J125)</f>
        <v/>
      </c>
      <c r="E124" s="47" t="str">
        <f>IFERROR(__xludf.DUMMYFUNCTION("IF($B124="""","""",IF(SUMPRODUCT((RASTREABILIDADE!$A$2:$A$2000=""C0"")*(RASTREABILIDADE!$F$2:$F$2000=""Sim"")*REGEXMATCH(RASTREABILIDADE!$E$2:$E$2000,""(^|[^A-Za-z0-9])""&amp;$B124&amp;""($|[^A-Za-z0-9])"")*(((RESUMO!$B$5=""Todas"")+(RASTREABILIDADE!$C$2:$C$2000="&amp;"RESUMO!$B$5))&gt;0)*(((RESUMO!$B$6=""Todas"")+(RASTREABILIDADE!$B$2:$B$2000=RESUMO!$B$6))&gt;0))&gt;0,1,0))"),"")</f>
        <v/>
      </c>
      <c r="F124" s="47" t="str">
        <f>IFERROR(__xludf.DUMMYFUNCTION("IF($B124="""","""",IF(SUMPRODUCT((RASTREABILIDADE!$A$2:$A$2000=""C1"")*(RASTREABILIDADE!$F$2:$F$2000=""Sim"")*REGEXMATCH(RASTREABILIDADE!$E$2:$E$2000,""(^|[^A-Za-z0-9])""&amp;$B124&amp;""($|[^A-Za-z0-9])"")*(((RESUMO!$B$5=""Todas"")+(RASTREABILIDADE!$C$2:$C$2000="&amp;"RESUMO!$B$5))&gt;0)*(((RESUMO!$B$6=""Todas"")+(RASTREABILIDADE!$B$2:$B$2000=RESUMO!$B$6))&gt;0))&gt;0,1,0))"),"")</f>
        <v/>
      </c>
      <c r="G124" s="47" t="str">
        <f>IFERROR(__xludf.DUMMYFUNCTION("IF($B124="""","""",IF(SUMPRODUCT((RASTREABILIDADE!$A$2:$A$2000=""C2"")*(RASTREABILIDADE!$F$2:$F$2000=""Sim"")*REGEXMATCH(RASTREABILIDADE!$E$2:$E$2000,""(^|[^A-Za-z0-9])""&amp;$B124&amp;""($|[^A-Za-z0-9])"")*(((RESUMO!$B$5=""Todas"")+(RASTREABILIDADE!$C$2:$C$2000="&amp;"RESUMO!$B$5))&gt;0)*(((RESUMO!$B$6=""Todas"")+(RASTREABILIDADE!$B$2:$B$2000=RESUMO!$B$6))&gt;0))&gt;0,1,0))"),"")</f>
        <v/>
      </c>
      <c r="H124" s="47" t="str">
        <f>IF(OR($C124="",$D124&lt;&gt;"Sim"),"",IF(COUNTIFS(RASTREABILIDADE!$A:$A,"C0",RASTREABILIDADE!$G:$G,$C124,RASTREABILIDADE!$H:$H,"Sim",RASTREABILIDADE!$C:$C,IF(RESUMO!$B$5="Todas","&lt;&gt;",RESUMO!$B$5),RASTREABILIDADE!$B:$B,IF(RESUMO!$B$6="Todas","&lt;&gt;",RESUMO!$B$6))&gt;0,1,0))</f>
        <v/>
      </c>
      <c r="I124" s="47" t="str">
        <f>IF(OR($C124="",$D124&lt;&gt;"Sim"),"",IF(COUNTIFS(RASTREABILIDADE!$A:$A,"C1",RASTREABILIDADE!$G:$G,$C124,RASTREABILIDADE!$H:$H,"Sim",RASTREABILIDADE!$C:$C,IF(RESUMO!$B$5="Todas","&lt;&gt;",RESUMO!$B$5),RASTREABILIDADE!$B:$B,IF(RESUMO!$B$6="Todas","&lt;&gt;",RESUMO!$B$6))&gt;0,1,0))</f>
        <v/>
      </c>
      <c r="J124" s="47" t="str">
        <f>IF(OR($C124="",$D124&lt;&gt;"Sim"),"",IF(COUNTIFS(RASTREABILIDADE!$A:$A,"C2",RASTREABILIDADE!$G:$G,$C124,RASTREABILIDADE!$H:$H,"Sim",RASTREABILIDADE!$C:$C,IF(RESUMO!$B$5="Todas","&lt;&gt;",RESUMO!$B$5),RASTREABILIDADE!$B:$B,IF(RESUMO!$B$6="Todas","&lt;&gt;",RESUMO!$B$6))&gt;0,1,0))</f>
        <v/>
      </c>
    </row>
    <row r="125" ht="15.75" customHeight="1">
      <c r="A125" s="47">
        <v>125.0</v>
      </c>
      <c r="B125" s="47" t="str">
        <f>IF(GABARITO!$B126="","",IF(COUNTIF(GABARITO!$B$4:$B126,GABARITO!$B126)=1,GABARITO!$B126,""))</f>
        <v/>
      </c>
      <c r="C125" s="47" t="str">
        <f>IF(GABARITO!$G126="","",GABARITO!$G126)</f>
        <v/>
      </c>
      <c r="D125" s="47" t="str">
        <f>IF(GABARITO!$J126="","",GABARITO!$J126)</f>
        <v/>
      </c>
      <c r="E125" s="47" t="str">
        <f>IFERROR(__xludf.DUMMYFUNCTION("IF($B125="""","""",IF(SUMPRODUCT((RASTREABILIDADE!$A$2:$A$2000=""C0"")*(RASTREABILIDADE!$F$2:$F$2000=""Sim"")*REGEXMATCH(RASTREABILIDADE!$E$2:$E$2000,""(^|[^A-Za-z0-9])""&amp;$B125&amp;""($|[^A-Za-z0-9])"")*(((RESUMO!$B$5=""Todas"")+(RASTREABILIDADE!$C$2:$C$2000="&amp;"RESUMO!$B$5))&gt;0)*(((RESUMO!$B$6=""Todas"")+(RASTREABILIDADE!$B$2:$B$2000=RESUMO!$B$6))&gt;0))&gt;0,1,0))"),"")</f>
        <v/>
      </c>
      <c r="F125" s="47" t="str">
        <f>IFERROR(__xludf.DUMMYFUNCTION("IF($B125="""","""",IF(SUMPRODUCT((RASTREABILIDADE!$A$2:$A$2000=""C1"")*(RASTREABILIDADE!$F$2:$F$2000=""Sim"")*REGEXMATCH(RASTREABILIDADE!$E$2:$E$2000,""(^|[^A-Za-z0-9])""&amp;$B125&amp;""($|[^A-Za-z0-9])"")*(((RESUMO!$B$5=""Todas"")+(RASTREABILIDADE!$C$2:$C$2000="&amp;"RESUMO!$B$5))&gt;0)*(((RESUMO!$B$6=""Todas"")+(RASTREABILIDADE!$B$2:$B$2000=RESUMO!$B$6))&gt;0))&gt;0,1,0))"),"")</f>
        <v/>
      </c>
      <c r="G125" s="47" t="str">
        <f>IFERROR(__xludf.DUMMYFUNCTION("IF($B125="""","""",IF(SUMPRODUCT((RASTREABILIDADE!$A$2:$A$2000=""C2"")*(RASTREABILIDADE!$F$2:$F$2000=""Sim"")*REGEXMATCH(RASTREABILIDADE!$E$2:$E$2000,""(^|[^A-Za-z0-9])""&amp;$B125&amp;""($|[^A-Za-z0-9])"")*(((RESUMO!$B$5=""Todas"")+(RASTREABILIDADE!$C$2:$C$2000="&amp;"RESUMO!$B$5))&gt;0)*(((RESUMO!$B$6=""Todas"")+(RASTREABILIDADE!$B$2:$B$2000=RESUMO!$B$6))&gt;0))&gt;0,1,0))"),"")</f>
        <v/>
      </c>
      <c r="H125" s="47" t="str">
        <f>IF(OR($C125="",$D125&lt;&gt;"Sim"),"",IF(COUNTIFS(RASTREABILIDADE!$A:$A,"C0",RASTREABILIDADE!$G:$G,$C125,RASTREABILIDADE!$H:$H,"Sim",RASTREABILIDADE!$C:$C,IF(RESUMO!$B$5="Todas","&lt;&gt;",RESUMO!$B$5),RASTREABILIDADE!$B:$B,IF(RESUMO!$B$6="Todas","&lt;&gt;",RESUMO!$B$6))&gt;0,1,0))</f>
        <v/>
      </c>
      <c r="I125" s="47" t="str">
        <f>IF(OR($C125="",$D125&lt;&gt;"Sim"),"",IF(COUNTIFS(RASTREABILIDADE!$A:$A,"C1",RASTREABILIDADE!$G:$G,$C125,RASTREABILIDADE!$H:$H,"Sim",RASTREABILIDADE!$C:$C,IF(RESUMO!$B$5="Todas","&lt;&gt;",RESUMO!$B$5),RASTREABILIDADE!$B:$B,IF(RESUMO!$B$6="Todas","&lt;&gt;",RESUMO!$B$6))&gt;0,1,0))</f>
        <v/>
      </c>
      <c r="J125" s="47" t="str">
        <f>IF(OR($C125="",$D125&lt;&gt;"Sim"),"",IF(COUNTIFS(RASTREABILIDADE!$A:$A,"C2",RASTREABILIDADE!$G:$G,$C125,RASTREABILIDADE!$H:$H,"Sim",RASTREABILIDADE!$C:$C,IF(RESUMO!$B$5="Todas","&lt;&gt;",RESUMO!$B$5),RASTREABILIDADE!$B:$B,IF(RESUMO!$B$6="Todas","&lt;&gt;",RESUMO!$B$6))&gt;0,1,0))</f>
        <v/>
      </c>
    </row>
    <row r="126" ht="15.75" customHeight="1">
      <c r="A126" s="47">
        <v>126.0</v>
      </c>
      <c r="B126" s="47" t="str">
        <f>IF(GABARITO!$B127="","",IF(COUNTIF(GABARITO!$B$4:$B127,GABARITO!$B127)=1,GABARITO!$B127,""))</f>
        <v/>
      </c>
      <c r="C126" s="47" t="str">
        <f>IF(GABARITO!$G127="","",GABARITO!$G127)</f>
        <v/>
      </c>
      <c r="D126" s="47" t="str">
        <f>IF(GABARITO!$J127="","",GABARITO!$J127)</f>
        <v/>
      </c>
      <c r="E126" s="47" t="str">
        <f>IFERROR(__xludf.DUMMYFUNCTION("IF($B126="""","""",IF(SUMPRODUCT((RASTREABILIDADE!$A$2:$A$2000=""C0"")*(RASTREABILIDADE!$F$2:$F$2000=""Sim"")*REGEXMATCH(RASTREABILIDADE!$E$2:$E$2000,""(^|[^A-Za-z0-9])""&amp;$B126&amp;""($|[^A-Za-z0-9])"")*(((RESUMO!$B$5=""Todas"")+(RASTREABILIDADE!$C$2:$C$2000="&amp;"RESUMO!$B$5))&gt;0)*(((RESUMO!$B$6=""Todas"")+(RASTREABILIDADE!$B$2:$B$2000=RESUMO!$B$6))&gt;0))&gt;0,1,0))"),"")</f>
        <v/>
      </c>
      <c r="F126" s="47" t="str">
        <f>IFERROR(__xludf.DUMMYFUNCTION("IF($B126="""","""",IF(SUMPRODUCT((RASTREABILIDADE!$A$2:$A$2000=""C1"")*(RASTREABILIDADE!$F$2:$F$2000=""Sim"")*REGEXMATCH(RASTREABILIDADE!$E$2:$E$2000,""(^|[^A-Za-z0-9])""&amp;$B126&amp;""($|[^A-Za-z0-9])"")*(((RESUMO!$B$5=""Todas"")+(RASTREABILIDADE!$C$2:$C$2000="&amp;"RESUMO!$B$5))&gt;0)*(((RESUMO!$B$6=""Todas"")+(RASTREABILIDADE!$B$2:$B$2000=RESUMO!$B$6))&gt;0))&gt;0,1,0))"),"")</f>
        <v/>
      </c>
      <c r="G126" s="47" t="str">
        <f>IFERROR(__xludf.DUMMYFUNCTION("IF($B126="""","""",IF(SUMPRODUCT((RASTREABILIDADE!$A$2:$A$2000=""C2"")*(RASTREABILIDADE!$F$2:$F$2000=""Sim"")*REGEXMATCH(RASTREABILIDADE!$E$2:$E$2000,""(^|[^A-Za-z0-9])""&amp;$B126&amp;""($|[^A-Za-z0-9])"")*(((RESUMO!$B$5=""Todas"")+(RASTREABILIDADE!$C$2:$C$2000="&amp;"RESUMO!$B$5))&gt;0)*(((RESUMO!$B$6=""Todas"")+(RASTREABILIDADE!$B$2:$B$2000=RESUMO!$B$6))&gt;0))&gt;0,1,0))"),"")</f>
        <v/>
      </c>
      <c r="H126" s="47" t="str">
        <f>IF(OR($C126="",$D126&lt;&gt;"Sim"),"",IF(COUNTIFS(RASTREABILIDADE!$A:$A,"C0",RASTREABILIDADE!$G:$G,$C126,RASTREABILIDADE!$H:$H,"Sim",RASTREABILIDADE!$C:$C,IF(RESUMO!$B$5="Todas","&lt;&gt;",RESUMO!$B$5),RASTREABILIDADE!$B:$B,IF(RESUMO!$B$6="Todas","&lt;&gt;",RESUMO!$B$6))&gt;0,1,0))</f>
        <v/>
      </c>
      <c r="I126" s="47" t="str">
        <f>IF(OR($C126="",$D126&lt;&gt;"Sim"),"",IF(COUNTIFS(RASTREABILIDADE!$A:$A,"C1",RASTREABILIDADE!$G:$G,$C126,RASTREABILIDADE!$H:$H,"Sim",RASTREABILIDADE!$C:$C,IF(RESUMO!$B$5="Todas","&lt;&gt;",RESUMO!$B$5),RASTREABILIDADE!$B:$B,IF(RESUMO!$B$6="Todas","&lt;&gt;",RESUMO!$B$6))&gt;0,1,0))</f>
        <v/>
      </c>
      <c r="J126" s="47" t="str">
        <f>IF(OR($C126="",$D126&lt;&gt;"Sim"),"",IF(COUNTIFS(RASTREABILIDADE!$A:$A,"C2",RASTREABILIDADE!$G:$G,$C126,RASTREABILIDADE!$H:$H,"Sim",RASTREABILIDADE!$C:$C,IF(RESUMO!$B$5="Todas","&lt;&gt;",RESUMO!$B$5),RASTREABILIDADE!$B:$B,IF(RESUMO!$B$6="Todas","&lt;&gt;",RESUMO!$B$6))&gt;0,1,0))</f>
        <v/>
      </c>
    </row>
    <row r="127" ht="15.75" customHeight="1">
      <c r="A127" s="47">
        <v>127.0</v>
      </c>
      <c r="B127" s="47" t="str">
        <f>IF(GABARITO!$B128="","",IF(COUNTIF(GABARITO!$B$4:$B128,GABARITO!$B128)=1,GABARITO!$B128,""))</f>
        <v/>
      </c>
      <c r="C127" s="47" t="str">
        <f>IF(GABARITO!$G128="","",GABARITO!$G128)</f>
        <v/>
      </c>
      <c r="D127" s="47" t="str">
        <f>IF(GABARITO!$J128="","",GABARITO!$J128)</f>
        <v/>
      </c>
      <c r="E127" s="47" t="str">
        <f>IFERROR(__xludf.DUMMYFUNCTION("IF($B127="""","""",IF(SUMPRODUCT((RASTREABILIDADE!$A$2:$A$2000=""C0"")*(RASTREABILIDADE!$F$2:$F$2000=""Sim"")*REGEXMATCH(RASTREABILIDADE!$E$2:$E$2000,""(^|[^A-Za-z0-9])""&amp;$B127&amp;""($|[^A-Za-z0-9])"")*(((RESUMO!$B$5=""Todas"")+(RASTREABILIDADE!$C$2:$C$2000="&amp;"RESUMO!$B$5))&gt;0)*(((RESUMO!$B$6=""Todas"")+(RASTREABILIDADE!$B$2:$B$2000=RESUMO!$B$6))&gt;0))&gt;0,1,0))"),"")</f>
        <v/>
      </c>
      <c r="F127" s="47" t="str">
        <f>IFERROR(__xludf.DUMMYFUNCTION("IF($B127="""","""",IF(SUMPRODUCT((RASTREABILIDADE!$A$2:$A$2000=""C1"")*(RASTREABILIDADE!$F$2:$F$2000=""Sim"")*REGEXMATCH(RASTREABILIDADE!$E$2:$E$2000,""(^|[^A-Za-z0-9])""&amp;$B127&amp;""($|[^A-Za-z0-9])"")*(((RESUMO!$B$5=""Todas"")+(RASTREABILIDADE!$C$2:$C$2000="&amp;"RESUMO!$B$5))&gt;0)*(((RESUMO!$B$6=""Todas"")+(RASTREABILIDADE!$B$2:$B$2000=RESUMO!$B$6))&gt;0))&gt;0,1,0))"),"")</f>
        <v/>
      </c>
      <c r="G127" s="47" t="str">
        <f>IFERROR(__xludf.DUMMYFUNCTION("IF($B127="""","""",IF(SUMPRODUCT((RASTREABILIDADE!$A$2:$A$2000=""C2"")*(RASTREABILIDADE!$F$2:$F$2000=""Sim"")*REGEXMATCH(RASTREABILIDADE!$E$2:$E$2000,""(^|[^A-Za-z0-9])""&amp;$B127&amp;""($|[^A-Za-z0-9])"")*(((RESUMO!$B$5=""Todas"")+(RASTREABILIDADE!$C$2:$C$2000="&amp;"RESUMO!$B$5))&gt;0)*(((RESUMO!$B$6=""Todas"")+(RASTREABILIDADE!$B$2:$B$2000=RESUMO!$B$6))&gt;0))&gt;0,1,0))"),"")</f>
        <v/>
      </c>
      <c r="H127" s="47" t="str">
        <f>IF(OR($C127="",$D127&lt;&gt;"Sim"),"",IF(COUNTIFS(RASTREABILIDADE!$A:$A,"C0",RASTREABILIDADE!$G:$G,$C127,RASTREABILIDADE!$H:$H,"Sim",RASTREABILIDADE!$C:$C,IF(RESUMO!$B$5="Todas","&lt;&gt;",RESUMO!$B$5),RASTREABILIDADE!$B:$B,IF(RESUMO!$B$6="Todas","&lt;&gt;",RESUMO!$B$6))&gt;0,1,0))</f>
        <v/>
      </c>
      <c r="I127" s="47" t="str">
        <f>IF(OR($C127="",$D127&lt;&gt;"Sim"),"",IF(COUNTIFS(RASTREABILIDADE!$A:$A,"C1",RASTREABILIDADE!$G:$G,$C127,RASTREABILIDADE!$H:$H,"Sim",RASTREABILIDADE!$C:$C,IF(RESUMO!$B$5="Todas","&lt;&gt;",RESUMO!$B$5),RASTREABILIDADE!$B:$B,IF(RESUMO!$B$6="Todas","&lt;&gt;",RESUMO!$B$6))&gt;0,1,0))</f>
        <v/>
      </c>
      <c r="J127" s="47" t="str">
        <f>IF(OR($C127="",$D127&lt;&gt;"Sim"),"",IF(COUNTIFS(RASTREABILIDADE!$A:$A,"C2",RASTREABILIDADE!$G:$G,$C127,RASTREABILIDADE!$H:$H,"Sim",RASTREABILIDADE!$C:$C,IF(RESUMO!$B$5="Todas","&lt;&gt;",RESUMO!$B$5),RASTREABILIDADE!$B:$B,IF(RESUMO!$B$6="Todas","&lt;&gt;",RESUMO!$B$6))&gt;0,1,0))</f>
        <v/>
      </c>
    </row>
    <row r="128" ht="15.75" customHeight="1">
      <c r="A128" s="47">
        <v>128.0</v>
      </c>
      <c r="B128" s="47" t="str">
        <f>IF(GABARITO!$B129="","",IF(COUNTIF(GABARITO!$B$4:$B129,GABARITO!$B129)=1,GABARITO!$B129,""))</f>
        <v/>
      </c>
      <c r="C128" s="47" t="str">
        <f>IF(GABARITO!$G129="","",GABARITO!$G129)</f>
        <v/>
      </c>
      <c r="D128" s="47" t="str">
        <f>IF(GABARITO!$J129="","",GABARITO!$J129)</f>
        <v/>
      </c>
      <c r="E128" s="47" t="str">
        <f>IFERROR(__xludf.DUMMYFUNCTION("IF($B128="""","""",IF(SUMPRODUCT((RASTREABILIDADE!$A$2:$A$2000=""C0"")*(RASTREABILIDADE!$F$2:$F$2000=""Sim"")*REGEXMATCH(RASTREABILIDADE!$E$2:$E$2000,""(^|[^A-Za-z0-9])""&amp;$B128&amp;""($|[^A-Za-z0-9])"")*(((RESUMO!$B$5=""Todas"")+(RASTREABILIDADE!$C$2:$C$2000="&amp;"RESUMO!$B$5))&gt;0)*(((RESUMO!$B$6=""Todas"")+(RASTREABILIDADE!$B$2:$B$2000=RESUMO!$B$6))&gt;0))&gt;0,1,0))"),"")</f>
        <v/>
      </c>
      <c r="F128" s="47" t="str">
        <f>IFERROR(__xludf.DUMMYFUNCTION("IF($B128="""","""",IF(SUMPRODUCT((RASTREABILIDADE!$A$2:$A$2000=""C1"")*(RASTREABILIDADE!$F$2:$F$2000=""Sim"")*REGEXMATCH(RASTREABILIDADE!$E$2:$E$2000,""(^|[^A-Za-z0-9])""&amp;$B128&amp;""($|[^A-Za-z0-9])"")*(((RESUMO!$B$5=""Todas"")+(RASTREABILIDADE!$C$2:$C$2000="&amp;"RESUMO!$B$5))&gt;0)*(((RESUMO!$B$6=""Todas"")+(RASTREABILIDADE!$B$2:$B$2000=RESUMO!$B$6))&gt;0))&gt;0,1,0))"),"")</f>
        <v/>
      </c>
      <c r="G128" s="47" t="str">
        <f>IFERROR(__xludf.DUMMYFUNCTION("IF($B128="""","""",IF(SUMPRODUCT((RASTREABILIDADE!$A$2:$A$2000=""C2"")*(RASTREABILIDADE!$F$2:$F$2000=""Sim"")*REGEXMATCH(RASTREABILIDADE!$E$2:$E$2000,""(^|[^A-Za-z0-9])""&amp;$B128&amp;""($|[^A-Za-z0-9])"")*(((RESUMO!$B$5=""Todas"")+(RASTREABILIDADE!$C$2:$C$2000="&amp;"RESUMO!$B$5))&gt;0)*(((RESUMO!$B$6=""Todas"")+(RASTREABILIDADE!$B$2:$B$2000=RESUMO!$B$6))&gt;0))&gt;0,1,0))"),"")</f>
        <v/>
      </c>
      <c r="H128" s="47" t="str">
        <f>IF(OR($C128="",$D128&lt;&gt;"Sim"),"",IF(COUNTIFS(RASTREABILIDADE!$A:$A,"C0",RASTREABILIDADE!$G:$G,$C128,RASTREABILIDADE!$H:$H,"Sim",RASTREABILIDADE!$C:$C,IF(RESUMO!$B$5="Todas","&lt;&gt;",RESUMO!$B$5),RASTREABILIDADE!$B:$B,IF(RESUMO!$B$6="Todas","&lt;&gt;",RESUMO!$B$6))&gt;0,1,0))</f>
        <v/>
      </c>
      <c r="I128" s="47" t="str">
        <f>IF(OR($C128="",$D128&lt;&gt;"Sim"),"",IF(COUNTIFS(RASTREABILIDADE!$A:$A,"C1",RASTREABILIDADE!$G:$G,$C128,RASTREABILIDADE!$H:$H,"Sim",RASTREABILIDADE!$C:$C,IF(RESUMO!$B$5="Todas","&lt;&gt;",RESUMO!$B$5),RASTREABILIDADE!$B:$B,IF(RESUMO!$B$6="Todas","&lt;&gt;",RESUMO!$B$6))&gt;0,1,0))</f>
        <v/>
      </c>
      <c r="J128" s="47" t="str">
        <f>IF(OR($C128="",$D128&lt;&gt;"Sim"),"",IF(COUNTIFS(RASTREABILIDADE!$A:$A,"C2",RASTREABILIDADE!$G:$G,$C128,RASTREABILIDADE!$H:$H,"Sim",RASTREABILIDADE!$C:$C,IF(RESUMO!$B$5="Todas","&lt;&gt;",RESUMO!$B$5),RASTREABILIDADE!$B:$B,IF(RESUMO!$B$6="Todas","&lt;&gt;",RESUMO!$B$6))&gt;0,1,0))</f>
        <v/>
      </c>
    </row>
    <row r="129" ht="15.75" customHeight="1">
      <c r="A129" s="47">
        <v>129.0</v>
      </c>
      <c r="B129" s="47" t="str">
        <f>IF(GABARITO!$B130="","",IF(COUNTIF(GABARITO!$B$4:$B130,GABARITO!$B130)=1,GABARITO!$B130,""))</f>
        <v/>
      </c>
      <c r="C129" s="47" t="str">
        <f>IF(GABARITO!$G130="","",GABARITO!$G130)</f>
        <v/>
      </c>
      <c r="D129" s="47" t="str">
        <f>IF(GABARITO!$J130="","",GABARITO!$J130)</f>
        <v/>
      </c>
      <c r="E129" s="47" t="str">
        <f>IFERROR(__xludf.DUMMYFUNCTION("IF($B129="""","""",IF(SUMPRODUCT((RASTREABILIDADE!$A$2:$A$2000=""C0"")*(RASTREABILIDADE!$F$2:$F$2000=""Sim"")*REGEXMATCH(RASTREABILIDADE!$E$2:$E$2000,""(^|[^A-Za-z0-9])""&amp;$B129&amp;""($|[^A-Za-z0-9])"")*(((RESUMO!$B$5=""Todas"")+(RASTREABILIDADE!$C$2:$C$2000="&amp;"RESUMO!$B$5))&gt;0)*(((RESUMO!$B$6=""Todas"")+(RASTREABILIDADE!$B$2:$B$2000=RESUMO!$B$6))&gt;0))&gt;0,1,0))"),"")</f>
        <v/>
      </c>
      <c r="F129" s="47" t="str">
        <f>IFERROR(__xludf.DUMMYFUNCTION("IF($B129="""","""",IF(SUMPRODUCT((RASTREABILIDADE!$A$2:$A$2000=""C1"")*(RASTREABILIDADE!$F$2:$F$2000=""Sim"")*REGEXMATCH(RASTREABILIDADE!$E$2:$E$2000,""(^|[^A-Za-z0-9])""&amp;$B129&amp;""($|[^A-Za-z0-9])"")*(((RESUMO!$B$5=""Todas"")+(RASTREABILIDADE!$C$2:$C$2000="&amp;"RESUMO!$B$5))&gt;0)*(((RESUMO!$B$6=""Todas"")+(RASTREABILIDADE!$B$2:$B$2000=RESUMO!$B$6))&gt;0))&gt;0,1,0))"),"")</f>
        <v/>
      </c>
      <c r="G129" s="47" t="str">
        <f>IFERROR(__xludf.DUMMYFUNCTION("IF($B129="""","""",IF(SUMPRODUCT((RASTREABILIDADE!$A$2:$A$2000=""C2"")*(RASTREABILIDADE!$F$2:$F$2000=""Sim"")*REGEXMATCH(RASTREABILIDADE!$E$2:$E$2000,""(^|[^A-Za-z0-9])""&amp;$B129&amp;""($|[^A-Za-z0-9])"")*(((RESUMO!$B$5=""Todas"")+(RASTREABILIDADE!$C$2:$C$2000="&amp;"RESUMO!$B$5))&gt;0)*(((RESUMO!$B$6=""Todas"")+(RASTREABILIDADE!$B$2:$B$2000=RESUMO!$B$6))&gt;0))&gt;0,1,0))"),"")</f>
        <v/>
      </c>
      <c r="H129" s="47" t="str">
        <f>IF(OR($C129="",$D129&lt;&gt;"Sim"),"",IF(COUNTIFS(RASTREABILIDADE!$A:$A,"C0",RASTREABILIDADE!$G:$G,$C129,RASTREABILIDADE!$H:$H,"Sim",RASTREABILIDADE!$C:$C,IF(RESUMO!$B$5="Todas","&lt;&gt;",RESUMO!$B$5),RASTREABILIDADE!$B:$B,IF(RESUMO!$B$6="Todas","&lt;&gt;",RESUMO!$B$6))&gt;0,1,0))</f>
        <v/>
      </c>
      <c r="I129" s="47" t="str">
        <f>IF(OR($C129="",$D129&lt;&gt;"Sim"),"",IF(COUNTIFS(RASTREABILIDADE!$A:$A,"C1",RASTREABILIDADE!$G:$G,$C129,RASTREABILIDADE!$H:$H,"Sim",RASTREABILIDADE!$C:$C,IF(RESUMO!$B$5="Todas","&lt;&gt;",RESUMO!$B$5),RASTREABILIDADE!$B:$B,IF(RESUMO!$B$6="Todas","&lt;&gt;",RESUMO!$B$6))&gt;0,1,0))</f>
        <v/>
      </c>
      <c r="J129" s="47" t="str">
        <f>IF(OR($C129="",$D129&lt;&gt;"Sim"),"",IF(COUNTIFS(RASTREABILIDADE!$A:$A,"C2",RASTREABILIDADE!$G:$G,$C129,RASTREABILIDADE!$H:$H,"Sim",RASTREABILIDADE!$C:$C,IF(RESUMO!$B$5="Todas","&lt;&gt;",RESUMO!$B$5),RASTREABILIDADE!$B:$B,IF(RESUMO!$B$6="Todas","&lt;&gt;",RESUMO!$B$6))&gt;0,1,0))</f>
        <v/>
      </c>
    </row>
    <row r="130" ht="15.75" customHeight="1">
      <c r="A130" s="47">
        <v>130.0</v>
      </c>
      <c r="B130" s="47" t="str">
        <f>IF(GABARITO!$B131="","",IF(COUNTIF(GABARITO!$B$4:$B131,GABARITO!$B131)=1,GABARITO!$B131,""))</f>
        <v/>
      </c>
      <c r="C130" s="47" t="str">
        <f>IF(GABARITO!$G131="","",GABARITO!$G131)</f>
        <v/>
      </c>
      <c r="D130" s="47" t="str">
        <f>IF(GABARITO!$J131="","",GABARITO!$J131)</f>
        <v/>
      </c>
      <c r="E130" s="47" t="str">
        <f>IFERROR(__xludf.DUMMYFUNCTION("IF($B130="""","""",IF(SUMPRODUCT((RASTREABILIDADE!$A$2:$A$2000=""C0"")*(RASTREABILIDADE!$F$2:$F$2000=""Sim"")*REGEXMATCH(RASTREABILIDADE!$E$2:$E$2000,""(^|[^A-Za-z0-9])""&amp;$B130&amp;""($|[^A-Za-z0-9])"")*(((RESUMO!$B$5=""Todas"")+(RASTREABILIDADE!$C$2:$C$2000="&amp;"RESUMO!$B$5))&gt;0)*(((RESUMO!$B$6=""Todas"")+(RASTREABILIDADE!$B$2:$B$2000=RESUMO!$B$6))&gt;0))&gt;0,1,0))"),"")</f>
        <v/>
      </c>
      <c r="F130" s="47" t="str">
        <f>IFERROR(__xludf.DUMMYFUNCTION("IF($B130="""","""",IF(SUMPRODUCT((RASTREABILIDADE!$A$2:$A$2000=""C1"")*(RASTREABILIDADE!$F$2:$F$2000=""Sim"")*REGEXMATCH(RASTREABILIDADE!$E$2:$E$2000,""(^|[^A-Za-z0-9])""&amp;$B130&amp;""($|[^A-Za-z0-9])"")*(((RESUMO!$B$5=""Todas"")+(RASTREABILIDADE!$C$2:$C$2000="&amp;"RESUMO!$B$5))&gt;0)*(((RESUMO!$B$6=""Todas"")+(RASTREABILIDADE!$B$2:$B$2000=RESUMO!$B$6))&gt;0))&gt;0,1,0))"),"")</f>
        <v/>
      </c>
      <c r="G130" s="47" t="str">
        <f>IFERROR(__xludf.DUMMYFUNCTION("IF($B130="""","""",IF(SUMPRODUCT((RASTREABILIDADE!$A$2:$A$2000=""C2"")*(RASTREABILIDADE!$F$2:$F$2000=""Sim"")*REGEXMATCH(RASTREABILIDADE!$E$2:$E$2000,""(^|[^A-Za-z0-9])""&amp;$B130&amp;""($|[^A-Za-z0-9])"")*(((RESUMO!$B$5=""Todas"")+(RASTREABILIDADE!$C$2:$C$2000="&amp;"RESUMO!$B$5))&gt;0)*(((RESUMO!$B$6=""Todas"")+(RASTREABILIDADE!$B$2:$B$2000=RESUMO!$B$6))&gt;0))&gt;0,1,0))"),"")</f>
        <v/>
      </c>
      <c r="H130" s="47" t="str">
        <f>IF(OR($C130="",$D130&lt;&gt;"Sim"),"",IF(COUNTIFS(RASTREABILIDADE!$A:$A,"C0",RASTREABILIDADE!$G:$G,$C130,RASTREABILIDADE!$H:$H,"Sim",RASTREABILIDADE!$C:$C,IF(RESUMO!$B$5="Todas","&lt;&gt;",RESUMO!$B$5),RASTREABILIDADE!$B:$B,IF(RESUMO!$B$6="Todas","&lt;&gt;",RESUMO!$B$6))&gt;0,1,0))</f>
        <v/>
      </c>
      <c r="I130" s="47" t="str">
        <f>IF(OR($C130="",$D130&lt;&gt;"Sim"),"",IF(COUNTIFS(RASTREABILIDADE!$A:$A,"C1",RASTREABILIDADE!$G:$G,$C130,RASTREABILIDADE!$H:$H,"Sim",RASTREABILIDADE!$C:$C,IF(RESUMO!$B$5="Todas","&lt;&gt;",RESUMO!$B$5),RASTREABILIDADE!$B:$B,IF(RESUMO!$B$6="Todas","&lt;&gt;",RESUMO!$B$6))&gt;0,1,0))</f>
        <v/>
      </c>
      <c r="J130" s="47" t="str">
        <f>IF(OR($C130="",$D130&lt;&gt;"Sim"),"",IF(COUNTIFS(RASTREABILIDADE!$A:$A,"C2",RASTREABILIDADE!$G:$G,$C130,RASTREABILIDADE!$H:$H,"Sim",RASTREABILIDADE!$C:$C,IF(RESUMO!$B$5="Todas","&lt;&gt;",RESUMO!$B$5),RASTREABILIDADE!$B:$B,IF(RESUMO!$B$6="Todas","&lt;&gt;",RESUMO!$B$6))&gt;0,1,0))</f>
        <v/>
      </c>
    </row>
    <row r="131" ht="15.75" customHeight="1">
      <c r="A131" s="47">
        <v>131.0</v>
      </c>
      <c r="B131" s="47" t="str">
        <f>IF(GABARITO!$B132="","",IF(COUNTIF(GABARITO!$B$4:$B132,GABARITO!$B132)=1,GABARITO!$B132,""))</f>
        <v/>
      </c>
      <c r="C131" s="47" t="str">
        <f>IF(GABARITO!$G132="","",GABARITO!$G132)</f>
        <v/>
      </c>
      <c r="D131" s="47" t="str">
        <f>IF(GABARITO!$J132="","",GABARITO!$J132)</f>
        <v/>
      </c>
      <c r="E131" s="47" t="str">
        <f>IFERROR(__xludf.DUMMYFUNCTION("IF($B131="""","""",IF(SUMPRODUCT((RASTREABILIDADE!$A$2:$A$2000=""C0"")*(RASTREABILIDADE!$F$2:$F$2000=""Sim"")*REGEXMATCH(RASTREABILIDADE!$E$2:$E$2000,""(^|[^A-Za-z0-9])""&amp;$B131&amp;""($|[^A-Za-z0-9])"")*(((RESUMO!$B$5=""Todas"")+(RASTREABILIDADE!$C$2:$C$2000="&amp;"RESUMO!$B$5))&gt;0)*(((RESUMO!$B$6=""Todas"")+(RASTREABILIDADE!$B$2:$B$2000=RESUMO!$B$6))&gt;0))&gt;0,1,0))"),"")</f>
        <v/>
      </c>
      <c r="F131" s="47" t="str">
        <f>IFERROR(__xludf.DUMMYFUNCTION("IF($B131="""","""",IF(SUMPRODUCT((RASTREABILIDADE!$A$2:$A$2000=""C1"")*(RASTREABILIDADE!$F$2:$F$2000=""Sim"")*REGEXMATCH(RASTREABILIDADE!$E$2:$E$2000,""(^|[^A-Za-z0-9])""&amp;$B131&amp;""($|[^A-Za-z0-9])"")*(((RESUMO!$B$5=""Todas"")+(RASTREABILIDADE!$C$2:$C$2000="&amp;"RESUMO!$B$5))&gt;0)*(((RESUMO!$B$6=""Todas"")+(RASTREABILIDADE!$B$2:$B$2000=RESUMO!$B$6))&gt;0))&gt;0,1,0))"),"")</f>
        <v/>
      </c>
      <c r="G131" s="47" t="str">
        <f>IFERROR(__xludf.DUMMYFUNCTION("IF($B131="""","""",IF(SUMPRODUCT((RASTREABILIDADE!$A$2:$A$2000=""C2"")*(RASTREABILIDADE!$F$2:$F$2000=""Sim"")*REGEXMATCH(RASTREABILIDADE!$E$2:$E$2000,""(^|[^A-Za-z0-9])""&amp;$B131&amp;""($|[^A-Za-z0-9])"")*(((RESUMO!$B$5=""Todas"")+(RASTREABILIDADE!$C$2:$C$2000="&amp;"RESUMO!$B$5))&gt;0)*(((RESUMO!$B$6=""Todas"")+(RASTREABILIDADE!$B$2:$B$2000=RESUMO!$B$6))&gt;0))&gt;0,1,0))"),"")</f>
        <v/>
      </c>
      <c r="H131" s="47" t="str">
        <f>IF(OR($C131="",$D131&lt;&gt;"Sim"),"",IF(COUNTIFS(RASTREABILIDADE!$A:$A,"C0",RASTREABILIDADE!$G:$G,$C131,RASTREABILIDADE!$H:$H,"Sim",RASTREABILIDADE!$C:$C,IF(RESUMO!$B$5="Todas","&lt;&gt;",RESUMO!$B$5),RASTREABILIDADE!$B:$B,IF(RESUMO!$B$6="Todas","&lt;&gt;",RESUMO!$B$6))&gt;0,1,0))</f>
        <v/>
      </c>
      <c r="I131" s="47" t="str">
        <f>IF(OR($C131="",$D131&lt;&gt;"Sim"),"",IF(COUNTIFS(RASTREABILIDADE!$A:$A,"C1",RASTREABILIDADE!$G:$G,$C131,RASTREABILIDADE!$H:$H,"Sim",RASTREABILIDADE!$C:$C,IF(RESUMO!$B$5="Todas","&lt;&gt;",RESUMO!$B$5),RASTREABILIDADE!$B:$B,IF(RESUMO!$B$6="Todas","&lt;&gt;",RESUMO!$B$6))&gt;0,1,0))</f>
        <v/>
      </c>
      <c r="J131" s="47" t="str">
        <f>IF(OR($C131="",$D131&lt;&gt;"Sim"),"",IF(COUNTIFS(RASTREABILIDADE!$A:$A,"C2",RASTREABILIDADE!$G:$G,$C131,RASTREABILIDADE!$H:$H,"Sim",RASTREABILIDADE!$C:$C,IF(RESUMO!$B$5="Todas","&lt;&gt;",RESUMO!$B$5),RASTREABILIDADE!$B:$B,IF(RESUMO!$B$6="Todas","&lt;&gt;",RESUMO!$B$6))&gt;0,1,0))</f>
        <v/>
      </c>
    </row>
    <row r="132" ht="15.75" customHeight="1">
      <c r="A132" s="47">
        <v>132.0</v>
      </c>
      <c r="B132" s="47" t="str">
        <f>IF(GABARITO!$B133="","",IF(COUNTIF(GABARITO!$B$4:$B133,GABARITO!$B133)=1,GABARITO!$B133,""))</f>
        <v/>
      </c>
      <c r="C132" s="47" t="str">
        <f>IF(GABARITO!$G133="","",GABARITO!$G133)</f>
        <v/>
      </c>
      <c r="D132" s="47" t="str">
        <f>IF(GABARITO!$J133="","",GABARITO!$J133)</f>
        <v/>
      </c>
      <c r="E132" s="47" t="str">
        <f>IFERROR(__xludf.DUMMYFUNCTION("IF($B132="""","""",IF(SUMPRODUCT((RASTREABILIDADE!$A$2:$A$2000=""C0"")*(RASTREABILIDADE!$F$2:$F$2000=""Sim"")*REGEXMATCH(RASTREABILIDADE!$E$2:$E$2000,""(^|[^A-Za-z0-9])""&amp;$B132&amp;""($|[^A-Za-z0-9])"")*(((RESUMO!$B$5=""Todas"")+(RASTREABILIDADE!$C$2:$C$2000="&amp;"RESUMO!$B$5))&gt;0)*(((RESUMO!$B$6=""Todas"")+(RASTREABILIDADE!$B$2:$B$2000=RESUMO!$B$6))&gt;0))&gt;0,1,0))"),"")</f>
        <v/>
      </c>
      <c r="F132" s="47" t="str">
        <f>IFERROR(__xludf.DUMMYFUNCTION("IF($B132="""","""",IF(SUMPRODUCT((RASTREABILIDADE!$A$2:$A$2000=""C1"")*(RASTREABILIDADE!$F$2:$F$2000=""Sim"")*REGEXMATCH(RASTREABILIDADE!$E$2:$E$2000,""(^|[^A-Za-z0-9])""&amp;$B132&amp;""($|[^A-Za-z0-9])"")*(((RESUMO!$B$5=""Todas"")+(RASTREABILIDADE!$C$2:$C$2000="&amp;"RESUMO!$B$5))&gt;0)*(((RESUMO!$B$6=""Todas"")+(RASTREABILIDADE!$B$2:$B$2000=RESUMO!$B$6))&gt;0))&gt;0,1,0))"),"")</f>
        <v/>
      </c>
      <c r="G132" s="47" t="str">
        <f>IFERROR(__xludf.DUMMYFUNCTION("IF($B132="""","""",IF(SUMPRODUCT((RASTREABILIDADE!$A$2:$A$2000=""C2"")*(RASTREABILIDADE!$F$2:$F$2000=""Sim"")*REGEXMATCH(RASTREABILIDADE!$E$2:$E$2000,""(^|[^A-Za-z0-9])""&amp;$B132&amp;""($|[^A-Za-z0-9])"")*(((RESUMO!$B$5=""Todas"")+(RASTREABILIDADE!$C$2:$C$2000="&amp;"RESUMO!$B$5))&gt;0)*(((RESUMO!$B$6=""Todas"")+(RASTREABILIDADE!$B$2:$B$2000=RESUMO!$B$6))&gt;0))&gt;0,1,0))"),"")</f>
        <v/>
      </c>
      <c r="H132" s="47" t="str">
        <f>IF(OR($C132="",$D132&lt;&gt;"Sim"),"",IF(COUNTIFS(RASTREABILIDADE!$A:$A,"C0",RASTREABILIDADE!$G:$G,$C132,RASTREABILIDADE!$H:$H,"Sim",RASTREABILIDADE!$C:$C,IF(RESUMO!$B$5="Todas","&lt;&gt;",RESUMO!$B$5),RASTREABILIDADE!$B:$B,IF(RESUMO!$B$6="Todas","&lt;&gt;",RESUMO!$B$6))&gt;0,1,0))</f>
        <v/>
      </c>
      <c r="I132" s="47" t="str">
        <f>IF(OR($C132="",$D132&lt;&gt;"Sim"),"",IF(COUNTIFS(RASTREABILIDADE!$A:$A,"C1",RASTREABILIDADE!$G:$G,$C132,RASTREABILIDADE!$H:$H,"Sim",RASTREABILIDADE!$C:$C,IF(RESUMO!$B$5="Todas","&lt;&gt;",RESUMO!$B$5),RASTREABILIDADE!$B:$B,IF(RESUMO!$B$6="Todas","&lt;&gt;",RESUMO!$B$6))&gt;0,1,0))</f>
        <v/>
      </c>
      <c r="J132" s="47" t="str">
        <f>IF(OR($C132="",$D132&lt;&gt;"Sim"),"",IF(COUNTIFS(RASTREABILIDADE!$A:$A,"C2",RASTREABILIDADE!$G:$G,$C132,RASTREABILIDADE!$H:$H,"Sim",RASTREABILIDADE!$C:$C,IF(RESUMO!$B$5="Todas","&lt;&gt;",RESUMO!$B$5),RASTREABILIDADE!$B:$B,IF(RESUMO!$B$6="Todas","&lt;&gt;",RESUMO!$B$6))&gt;0,1,0))</f>
        <v/>
      </c>
    </row>
    <row r="133" ht="15.75" customHeight="1">
      <c r="A133" s="47">
        <v>133.0</v>
      </c>
      <c r="B133" s="47" t="str">
        <f>IF(GABARITO!$B134="","",IF(COUNTIF(GABARITO!$B$4:$B134,GABARITO!$B134)=1,GABARITO!$B134,""))</f>
        <v/>
      </c>
      <c r="C133" s="47" t="str">
        <f>IF(GABARITO!$G134="","",GABARITO!$G134)</f>
        <v/>
      </c>
      <c r="D133" s="47" t="str">
        <f>IF(GABARITO!$J134="","",GABARITO!$J134)</f>
        <v/>
      </c>
      <c r="E133" s="47" t="str">
        <f>IFERROR(__xludf.DUMMYFUNCTION("IF($B133="""","""",IF(SUMPRODUCT((RASTREABILIDADE!$A$2:$A$2000=""C0"")*(RASTREABILIDADE!$F$2:$F$2000=""Sim"")*REGEXMATCH(RASTREABILIDADE!$E$2:$E$2000,""(^|[^A-Za-z0-9])""&amp;$B133&amp;""($|[^A-Za-z0-9])"")*(((RESUMO!$B$5=""Todas"")+(RASTREABILIDADE!$C$2:$C$2000="&amp;"RESUMO!$B$5))&gt;0)*(((RESUMO!$B$6=""Todas"")+(RASTREABILIDADE!$B$2:$B$2000=RESUMO!$B$6))&gt;0))&gt;0,1,0))"),"")</f>
        <v/>
      </c>
      <c r="F133" s="47" t="str">
        <f>IFERROR(__xludf.DUMMYFUNCTION("IF($B133="""","""",IF(SUMPRODUCT((RASTREABILIDADE!$A$2:$A$2000=""C1"")*(RASTREABILIDADE!$F$2:$F$2000=""Sim"")*REGEXMATCH(RASTREABILIDADE!$E$2:$E$2000,""(^|[^A-Za-z0-9])""&amp;$B133&amp;""($|[^A-Za-z0-9])"")*(((RESUMO!$B$5=""Todas"")+(RASTREABILIDADE!$C$2:$C$2000="&amp;"RESUMO!$B$5))&gt;0)*(((RESUMO!$B$6=""Todas"")+(RASTREABILIDADE!$B$2:$B$2000=RESUMO!$B$6))&gt;0))&gt;0,1,0))"),"")</f>
        <v/>
      </c>
      <c r="G133" s="47" t="str">
        <f>IFERROR(__xludf.DUMMYFUNCTION("IF($B133="""","""",IF(SUMPRODUCT((RASTREABILIDADE!$A$2:$A$2000=""C2"")*(RASTREABILIDADE!$F$2:$F$2000=""Sim"")*REGEXMATCH(RASTREABILIDADE!$E$2:$E$2000,""(^|[^A-Za-z0-9])""&amp;$B133&amp;""($|[^A-Za-z0-9])"")*(((RESUMO!$B$5=""Todas"")+(RASTREABILIDADE!$C$2:$C$2000="&amp;"RESUMO!$B$5))&gt;0)*(((RESUMO!$B$6=""Todas"")+(RASTREABILIDADE!$B$2:$B$2000=RESUMO!$B$6))&gt;0))&gt;0,1,0))"),"")</f>
        <v/>
      </c>
      <c r="H133" s="47" t="str">
        <f>IF(OR($C133="",$D133&lt;&gt;"Sim"),"",IF(COUNTIFS(RASTREABILIDADE!$A:$A,"C0",RASTREABILIDADE!$G:$G,$C133,RASTREABILIDADE!$H:$H,"Sim",RASTREABILIDADE!$C:$C,IF(RESUMO!$B$5="Todas","&lt;&gt;",RESUMO!$B$5),RASTREABILIDADE!$B:$B,IF(RESUMO!$B$6="Todas","&lt;&gt;",RESUMO!$B$6))&gt;0,1,0))</f>
        <v/>
      </c>
      <c r="I133" s="47" t="str">
        <f>IF(OR($C133="",$D133&lt;&gt;"Sim"),"",IF(COUNTIFS(RASTREABILIDADE!$A:$A,"C1",RASTREABILIDADE!$G:$G,$C133,RASTREABILIDADE!$H:$H,"Sim",RASTREABILIDADE!$C:$C,IF(RESUMO!$B$5="Todas","&lt;&gt;",RESUMO!$B$5),RASTREABILIDADE!$B:$B,IF(RESUMO!$B$6="Todas","&lt;&gt;",RESUMO!$B$6))&gt;0,1,0))</f>
        <v/>
      </c>
      <c r="J133" s="47" t="str">
        <f>IF(OR($C133="",$D133&lt;&gt;"Sim"),"",IF(COUNTIFS(RASTREABILIDADE!$A:$A,"C2",RASTREABILIDADE!$G:$G,$C133,RASTREABILIDADE!$H:$H,"Sim",RASTREABILIDADE!$C:$C,IF(RESUMO!$B$5="Todas","&lt;&gt;",RESUMO!$B$5),RASTREABILIDADE!$B:$B,IF(RESUMO!$B$6="Todas","&lt;&gt;",RESUMO!$B$6))&gt;0,1,0))</f>
        <v/>
      </c>
    </row>
    <row r="134" ht="15.75" customHeight="1">
      <c r="A134" s="47">
        <v>134.0</v>
      </c>
      <c r="B134" s="47" t="str">
        <f>IF(GABARITO!$B135="","",IF(COUNTIF(GABARITO!$B$4:$B135,GABARITO!$B135)=1,GABARITO!$B135,""))</f>
        <v/>
      </c>
      <c r="C134" s="47" t="str">
        <f>IF(GABARITO!$G135="","",GABARITO!$G135)</f>
        <v/>
      </c>
      <c r="D134" s="47" t="str">
        <f>IF(GABARITO!$J135="","",GABARITO!$J135)</f>
        <v/>
      </c>
      <c r="E134" s="47" t="str">
        <f>IFERROR(__xludf.DUMMYFUNCTION("IF($B134="""","""",IF(SUMPRODUCT((RASTREABILIDADE!$A$2:$A$2000=""C0"")*(RASTREABILIDADE!$F$2:$F$2000=""Sim"")*REGEXMATCH(RASTREABILIDADE!$E$2:$E$2000,""(^|[^A-Za-z0-9])""&amp;$B134&amp;""($|[^A-Za-z0-9])"")*(((RESUMO!$B$5=""Todas"")+(RASTREABILIDADE!$C$2:$C$2000="&amp;"RESUMO!$B$5))&gt;0)*(((RESUMO!$B$6=""Todas"")+(RASTREABILIDADE!$B$2:$B$2000=RESUMO!$B$6))&gt;0))&gt;0,1,0))"),"")</f>
        <v/>
      </c>
      <c r="F134" s="47" t="str">
        <f>IFERROR(__xludf.DUMMYFUNCTION("IF($B134="""","""",IF(SUMPRODUCT((RASTREABILIDADE!$A$2:$A$2000=""C1"")*(RASTREABILIDADE!$F$2:$F$2000=""Sim"")*REGEXMATCH(RASTREABILIDADE!$E$2:$E$2000,""(^|[^A-Za-z0-9])""&amp;$B134&amp;""($|[^A-Za-z0-9])"")*(((RESUMO!$B$5=""Todas"")+(RASTREABILIDADE!$C$2:$C$2000="&amp;"RESUMO!$B$5))&gt;0)*(((RESUMO!$B$6=""Todas"")+(RASTREABILIDADE!$B$2:$B$2000=RESUMO!$B$6))&gt;0))&gt;0,1,0))"),"")</f>
        <v/>
      </c>
      <c r="G134" s="47" t="str">
        <f>IFERROR(__xludf.DUMMYFUNCTION("IF($B134="""","""",IF(SUMPRODUCT((RASTREABILIDADE!$A$2:$A$2000=""C2"")*(RASTREABILIDADE!$F$2:$F$2000=""Sim"")*REGEXMATCH(RASTREABILIDADE!$E$2:$E$2000,""(^|[^A-Za-z0-9])""&amp;$B134&amp;""($|[^A-Za-z0-9])"")*(((RESUMO!$B$5=""Todas"")+(RASTREABILIDADE!$C$2:$C$2000="&amp;"RESUMO!$B$5))&gt;0)*(((RESUMO!$B$6=""Todas"")+(RASTREABILIDADE!$B$2:$B$2000=RESUMO!$B$6))&gt;0))&gt;0,1,0))"),"")</f>
        <v/>
      </c>
      <c r="H134" s="47" t="str">
        <f>IF(OR($C134="",$D134&lt;&gt;"Sim"),"",IF(COUNTIFS(RASTREABILIDADE!$A:$A,"C0",RASTREABILIDADE!$G:$G,$C134,RASTREABILIDADE!$H:$H,"Sim",RASTREABILIDADE!$C:$C,IF(RESUMO!$B$5="Todas","&lt;&gt;",RESUMO!$B$5),RASTREABILIDADE!$B:$B,IF(RESUMO!$B$6="Todas","&lt;&gt;",RESUMO!$B$6))&gt;0,1,0))</f>
        <v/>
      </c>
      <c r="I134" s="47" t="str">
        <f>IF(OR($C134="",$D134&lt;&gt;"Sim"),"",IF(COUNTIFS(RASTREABILIDADE!$A:$A,"C1",RASTREABILIDADE!$G:$G,$C134,RASTREABILIDADE!$H:$H,"Sim",RASTREABILIDADE!$C:$C,IF(RESUMO!$B$5="Todas","&lt;&gt;",RESUMO!$B$5),RASTREABILIDADE!$B:$B,IF(RESUMO!$B$6="Todas","&lt;&gt;",RESUMO!$B$6))&gt;0,1,0))</f>
        <v/>
      </c>
      <c r="J134" s="47" t="str">
        <f>IF(OR($C134="",$D134&lt;&gt;"Sim"),"",IF(COUNTIFS(RASTREABILIDADE!$A:$A,"C2",RASTREABILIDADE!$G:$G,$C134,RASTREABILIDADE!$H:$H,"Sim",RASTREABILIDADE!$C:$C,IF(RESUMO!$B$5="Todas","&lt;&gt;",RESUMO!$B$5),RASTREABILIDADE!$B:$B,IF(RESUMO!$B$6="Todas","&lt;&gt;",RESUMO!$B$6))&gt;0,1,0))</f>
        <v/>
      </c>
    </row>
    <row r="135" ht="15.75" customHeight="1">
      <c r="A135" s="47">
        <v>135.0</v>
      </c>
      <c r="B135" s="47" t="str">
        <f>IF(GABARITO!$B136="","",IF(COUNTIF(GABARITO!$B$4:$B136,GABARITO!$B136)=1,GABARITO!$B136,""))</f>
        <v/>
      </c>
      <c r="C135" s="47" t="str">
        <f>IF(GABARITO!$G136="","",GABARITO!$G136)</f>
        <v/>
      </c>
      <c r="D135" s="47" t="str">
        <f>IF(GABARITO!$J136="","",GABARITO!$J136)</f>
        <v/>
      </c>
      <c r="E135" s="47" t="str">
        <f>IFERROR(__xludf.DUMMYFUNCTION("IF($B135="""","""",IF(SUMPRODUCT((RASTREABILIDADE!$A$2:$A$2000=""C0"")*(RASTREABILIDADE!$F$2:$F$2000=""Sim"")*REGEXMATCH(RASTREABILIDADE!$E$2:$E$2000,""(^|[^A-Za-z0-9])""&amp;$B135&amp;""($|[^A-Za-z0-9])"")*(((RESUMO!$B$5=""Todas"")+(RASTREABILIDADE!$C$2:$C$2000="&amp;"RESUMO!$B$5))&gt;0)*(((RESUMO!$B$6=""Todas"")+(RASTREABILIDADE!$B$2:$B$2000=RESUMO!$B$6))&gt;0))&gt;0,1,0))"),"")</f>
        <v/>
      </c>
      <c r="F135" s="47" t="str">
        <f>IFERROR(__xludf.DUMMYFUNCTION("IF($B135="""","""",IF(SUMPRODUCT((RASTREABILIDADE!$A$2:$A$2000=""C1"")*(RASTREABILIDADE!$F$2:$F$2000=""Sim"")*REGEXMATCH(RASTREABILIDADE!$E$2:$E$2000,""(^|[^A-Za-z0-9])""&amp;$B135&amp;""($|[^A-Za-z0-9])"")*(((RESUMO!$B$5=""Todas"")+(RASTREABILIDADE!$C$2:$C$2000="&amp;"RESUMO!$B$5))&gt;0)*(((RESUMO!$B$6=""Todas"")+(RASTREABILIDADE!$B$2:$B$2000=RESUMO!$B$6))&gt;0))&gt;0,1,0))"),"")</f>
        <v/>
      </c>
      <c r="G135" s="47" t="str">
        <f>IFERROR(__xludf.DUMMYFUNCTION("IF($B135="""","""",IF(SUMPRODUCT((RASTREABILIDADE!$A$2:$A$2000=""C2"")*(RASTREABILIDADE!$F$2:$F$2000=""Sim"")*REGEXMATCH(RASTREABILIDADE!$E$2:$E$2000,""(^|[^A-Za-z0-9])""&amp;$B135&amp;""($|[^A-Za-z0-9])"")*(((RESUMO!$B$5=""Todas"")+(RASTREABILIDADE!$C$2:$C$2000="&amp;"RESUMO!$B$5))&gt;0)*(((RESUMO!$B$6=""Todas"")+(RASTREABILIDADE!$B$2:$B$2000=RESUMO!$B$6))&gt;0))&gt;0,1,0))"),"")</f>
        <v/>
      </c>
      <c r="H135" s="47" t="str">
        <f>IF(OR($C135="",$D135&lt;&gt;"Sim"),"",IF(COUNTIFS(RASTREABILIDADE!$A:$A,"C0",RASTREABILIDADE!$G:$G,$C135,RASTREABILIDADE!$H:$H,"Sim",RASTREABILIDADE!$C:$C,IF(RESUMO!$B$5="Todas","&lt;&gt;",RESUMO!$B$5),RASTREABILIDADE!$B:$B,IF(RESUMO!$B$6="Todas","&lt;&gt;",RESUMO!$B$6))&gt;0,1,0))</f>
        <v/>
      </c>
      <c r="I135" s="47" t="str">
        <f>IF(OR($C135="",$D135&lt;&gt;"Sim"),"",IF(COUNTIFS(RASTREABILIDADE!$A:$A,"C1",RASTREABILIDADE!$G:$G,$C135,RASTREABILIDADE!$H:$H,"Sim",RASTREABILIDADE!$C:$C,IF(RESUMO!$B$5="Todas","&lt;&gt;",RESUMO!$B$5),RASTREABILIDADE!$B:$B,IF(RESUMO!$B$6="Todas","&lt;&gt;",RESUMO!$B$6))&gt;0,1,0))</f>
        <v/>
      </c>
      <c r="J135" s="47" t="str">
        <f>IF(OR($C135="",$D135&lt;&gt;"Sim"),"",IF(COUNTIFS(RASTREABILIDADE!$A:$A,"C2",RASTREABILIDADE!$G:$G,$C135,RASTREABILIDADE!$H:$H,"Sim",RASTREABILIDADE!$C:$C,IF(RESUMO!$B$5="Todas","&lt;&gt;",RESUMO!$B$5),RASTREABILIDADE!$B:$B,IF(RESUMO!$B$6="Todas","&lt;&gt;",RESUMO!$B$6))&gt;0,1,0))</f>
        <v/>
      </c>
    </row>
    <row r="136" ht="15.75" customHeight="1">
      <c r="A136" s="47">
        <v>136.0</v>
      </c>
      <c r="B136" s="47" t="str">
        <f>IF(GABARITO!$B137="","",IF(COUNTIF(GABARITO!$B$4:$B137,GABARITO!$B137)=1,GABARITO!$B137,""))</f>
        <v/>
      </c>
      <c r="C136" s="47" t="str">
        <f>IF(GABARITO!$G137="","",GABARITO!$G137)</f>
        <v/>
      </c>
      <c r="D136" s="47" t="str">
        <f>IF(GABARITO!$J137="","",GABARITO!$J137)</f>
        <v/>
      </c>
      <c r="E136" s="47" t="str">
        <f>IFERROR(__xludf.DUMMYFUNCTION("IF($B136="""","""",IF(SUMPRODUCT((RASTREABILIDADE!$A$2:$A$2000=""C0"")*(RASTREABILIDADE!$F$2:$F$2000=""Sim"")*REGEXMATCH(RASTREABILIDADE!$E$2:$E$2000,""(^|[^A-Za-z0-9])""&amp;$B136&amp;""($|[^A-Za-z0-9])"")*(((RESUMO!$B$5=""Todas"")+(RASTREABILIDADE!$C$2:$C$2000="&amp;"RESUMO!$B$5))&gt;0)*(((RESUMO!$B$6=""Todas"")+(RASTREABILIDADE!$B$2:$B$2000=RESUMO!$B$6))&gt;0))&gt;0,1,0))"),"")</f>
        <v/>
      </c>
      <c r="F136" s="47" t="str">
        <f>IFERROR(__xludf.DUMMYFUNCTION("IF($B136="""","""",IF(SUMPRODUCT((RASTREABILIDADE!$A$2:$A$2000=""C1"")*(RASTREABILIDADE!$F$2:$F$2000=""Sim"")*REGEXMATCH(RASTREABILIDADE!$E$2:$E$2000,""(^|[^A-Za-z0-9])""&amp;$B136&amp;""($|[^A-Za-z0-9])"")*(((RESUMO!$B$5=""Todas"")+(RASTREABILIDADE!$C$2:$C$2000="&amp;"RESUMO!$B$5))&gt;0)*(((RESUMO!$B$6=""Todas"")+(RASTREABILIDADE!$B$2:$B$2000=RESUMO!$B$6))&gt;0))&gt;0,1,0))"),"")</f>
        <v/>
      </c>
      <c r="G136" s="47" t="str">
        <f>IFERROR(__xludf.DUMMYFUNCTION("IF($B136="""","""",IF(SUMPRODUCT((RASTREABILIDADE!$A$2:$A$2000=""C2"")*(RASTREABILIDADE!$F$2:$F$2000=""Sim"")*REGEXMATCH(RASTREABILIDADE!$E$2:$E$2000,""(^|[^A-Za-z0-9])""&amp;$B136&amp;""($|[^A-Za-z0-9])"")*(((RESUMO!$B$5=""Todas"")+(RASTREABILIDADE!$C$2:$C$2000="&amp;"RESUMO!$B$5))&gt;0)*(((RESUMO!$B$6=""Todas"")+(RASTREABILIDADE!$B$2:$B$2000=RESUMO!$B$6))&gt;0))&gt;0,1,0))"),"")</f>
        <v/>
      </c>
      <c r="H136" s="47" t="str">
        <f>IF(OR($C136="",$D136&lt;&gt;"Sim"),"",IF(COUNTIFS(RASTREABILIDADE!$A:$A,"C0",RASTREABILIDADE!$G:$G,$C136,RASTREABILIDADE!$H:$H,"Sim",RASTREABILIDADE!$C:$C,IF(RESUMO!$B$5="Todas","&lt;&gt;",RESUMO!$B$5),RASTREABILIDADE!$B:$B,IF(RESUMO!$B$6="Todas","&lt;&gt;",RESUMO!$B$6))&gt;0,1,0))</f>
        <v/>
      </c>
      <c r="I136" s="47" t="str">
        <f>IF(OR($C136="",$D136&lt;&gt;"Sim"),"",IF(COUNTIFS(RASTREABILIDADE!$A:$A,"C1",RASTREABILIDADE!$G:$G,$C136,RASTREABILIDADE!$H:$H,"Sim",RASTREABILIDADE!$C:$C,IF(RESUMO!$B$5="Todas","&lt;&gt;",RESUMO!$B$5),RASTREABILIDADE!$B:$B,IF(RESUMO!$B$6="Todas","&lt;&gt;",RESUMO!$B$6))&gt;0,1,0))</f>
        <v/>
      </c>
      <c r="J136" s="47" t="str">
        <f>IF(OR($C136="",$D136&lt;&gt;"Sim"),"",IF(COUNTIFS(RASTREABILIDADE!$A:$A,"C2",RASTREABILIDADE!$G:$G,$C136,RASTREABILIDADE!$H:$H,"Sim",RASTREABILIDADE!$C:$C,IF(RESUMO!$B$5="Todas","&lt;&gt;",RESUMO!$B$5),RASTREABILIDADE!$B:$B,IF(RESUMO!$B$6="Todas","&lt;&gt;",RESUMO!$B$6))&gt;0,1,0))</f>
        <v/>
      </c>
    </row>
    <row r="137" ht="15.75" customHeight="1">
      <c r="A137" s="47">
        <v>137.0</v>
      </c>
      <c r="B137" s="47" t="str">
        <f>IF(GABARITO!$B138="","",IF(COUNTIF(GABARITO!$B$4:$B138,GABARITO!$B138)=1,GABARITO!$B138,""))</f>
        <v/>
      </c>
      <c r="C137" s="47" t="str">
        <f>IF(GABARITO!$G138="","",GABARITO!$G138)</f>
        <v/>
      </c>
      <c r="D137" s="47" t="str">
        <f>IF(GABARITO!$J138="","",GABARITO!$J138)</f>
        <v/>
      </c>
      <c r="E137" s="47" t="str">
        <f>IFERROR(__xludf.DUMMYFUNCTION("IF($B137="""","""",IF(SUMPRODUCT((RASTREABILIDADE!$A$2:$A$2000=""C0"")*(RASTREABILIDADE!$F$2:$F$2000=""Sim"")*REGEXMATCH(RASTREABILIDADE!$E$2:$E$2000,""(^|[^A-Za-z0-9])""&amp;$B137&amp;""($|[^A-Za-z0-9])"")*(((RESUMO!$B$5=""Todas"")+(RASTREABILIDADE!$C$2:$C$2000="&amp;"RESUMO!$B$5))&gt;0)*(((RESUMO!$B$6=""Todas"")+(RASTREABILIDADE!$B$2:$B$2000=RESUMO!$B$6))&gt;0))&gt;0,1,0))"),"")</f>
        <v/>
      </c>
      <c r="F137" s="47" t="str">
        <f>IFERROR(__xludf.DUMMYFUNCTION("IF($B137="""","""",IF(SUMPRODUCT((RASTREABILIDADE!$A$2:$A$2000=""C1"")*(RASTREABILIDADE!$F$2:$F$2000=""Sim"")*REGEXMATCH(RASTREABILIDADE!$E$2:$E$2000,""(^|[^A-Za-z0-9])""&amp;$B137&amp;""($|[^A-Za-z0-9])"")*(((RESUMO!$B$5=""Todas"")+(RASTREABILIDADE!$C$2:$C$2000="&amp;"RESUMO!$B$5))&gt;0)*(((RESUMO!$B$6=""Todas"")+(RASTREABILIDADE!$B$2:$B$2000=RESUMO!$B$6))&gt;0))&gt;0,1,0))"),"")</f>
        <v/>
      </c>
      <c r="G137" s="47" t="str">
        <f>IFERROR(__xludf.DUMMYFUNCTION("IF($B137="""","""",IF(SUMPRODUCT((RASTREABILIDADE!$A$2:$A$2000=""C2"")*(RASTREABILIDADE!$F$2:$F$2000=""Sim"")*REGEXMATCH(RASTREABILIDADE!$E$2:$E$2000,""(^|[^A-Za-z0-9])""&amp;$B137&amp;""($|[^A-Za-z0-9])"")*(((RESUMO!$B$5=""Todas"")+(RASTREABILIDADE!$C$2:$C$2000="&amp;"RESUMO!$B$5))&gt;0)*(((RESUMO!$B$6=""Todas"")+(RASTREABILIDADE!$B$2:$B$2000=RESUMO!$B$6))&gt;0))&gt;0,1,0))"),"")</f>
        <v/>
      </c>
      <c r="H137" s="47" t="str">
        <f>IF(OR($C137="",$D137&lt;&gt;"Sim"),"",IF(COUNTIFS(RASTREABILIDADE!$A:$A,"C0",RASTREABILIDADE!$G:$G,$C137,RASTREABILIDADE!$H:$H,"Sim",RASTREABILIDADE!$C:$C,IF(RESUMO!$B$5="Todas","&lt;&gt;",RESUMO!$B$5),RASTREABILIDADE!$B:$B,IF(RESUMO!$B$6="Todas","&lt;&gt;",RESUMO!$B$6))&gt;0,1,0))</f>
        <v/>
      </c>
      <c r="I137" s="47" t="str">
        <f>IF(OR($C137="",$D137&lt;&gt;"Sim"),"",IF(COUNTIFS(RASTREABILIDADE!$A:$A,"C1",RASTREABILIDADE!$G:$G,$C137,RASTREABILIDADE!$H:$H,"Sim",RASTREABILIDADE!$C:$C,IF(RESUMO!$B$5="Todas","&lt;&gt;",RESUMO!$B$5),RASTREABILIDADE!$B:$B,IF(RESUMO!$B$6="Todas","&lt;&gt;",RESUMO!$B$6))&gt;0,1,0))</f>
        <v/>
      </c>
      <c r="J137" s="47" t="str">
        <f>IF(OR($C137="",$D137&lt;&gt;"Sim"),"",IF(COUNTIFS(RASTREABILIDADE!$A:$A,"C2",RASTREABILIDADE!$G:$G,$C137,RASTREABILIDADE!$H:$H,"Sim",RASTREABILIDADE!$C:$C,IF(RESUMO!$B$5="Todas","&lt;&gt;",RESUMO!$B$5),RASTREABILIDADE!$B:$B,IF(RESUMO!$B$6="Todas","&lt;&gt;",RESUMO!$B$6))&gt;0,1,0))</f>
        <v/>
      </c>
    </row>
    <row r="138" ht="15.75" customHeight="1">
      <c r="A138" s="47">
        <v>138.0</v>
      </c>
      <c r="B138" s="47" t="str">
        <f>IF(GABARITO!$B139="","",IF(COUNTIF(GABARITO!$B$4:$B139,GABARITO!$B139)=1,GABARITO!$B139,""))</f>
        <v/>
      </c>
      <c r="C138" s="47" t="str">
        <f>IF(GABARITO!$G139="","",GABARITO!$G139)</f>
        <v/>
      </c>
      <c r="D138" s="47" t="str">
        <f>IF(GABARITO!$J139="","",GABARITO!$J139)</f>
        <v/>
      </c>
      <c r="E138" s="47" t="str">
        <f>IFERROR(__xludf.DUMMYFUNCTION("IF($B138="""","""",IF(SUMPRODUCT((RASTREABILIDADE!$A$2:$A$2000=""C0"")*(RASTREABILIDADE!$F$2:$F$2000=""Sim"")*REGEXMATCH(RASTREABILIDADE!$E$2:$E$2000,""(^|[^A-Za-z0-9])""&amp;$B138&amp;""($|[^A-Za-z0-9])"")*(((RESUMO!$B$5=""Todas"")+(RASTREABILIDADE!$C$2:$C$2000="&amp;"RESUMO!$B$5))&gt;0)*(((RESUMO!$B$6=""Todas"")+(RASTREABILIDADE!$B$2:$B$2000=RESUMO!$B$6))&gt;0))&gt;0,1,0))"),"")</f>
        <v/>
      </c>
      <c r="F138" s="47" t="str">
        <f>IFERROR(__xludf.DUMMYFUNCTION("IF($B138="""","""",IF(SUMPRODUCT((RASTREABILIDADE!$A$2:$A$2000=""C1"")*(RASTREABILIDADE!$F$2:$F$2000=""Sim"")*REGEXMATCH(RASTREABILIDADE!$E$2:$E$2000,""(^|[^A-Za-z0-9])""&amp;$B138&amp;""($|[^A-Za-z0-9])"")*(((RESUMO!$B$5=""Todas"")+(RASTREABILIDADE!$C$2:$C$2000="&amp;"RESUMO!$B$5))&gt;0)*(((RESUMO!$B$6=""Todas"")+(RASTREABILIDADE!$B$2:$B$2000=RESUMO!$B$6))&gt;0))&gt;0,1,0))"),"")</f>
        <v/>
      </c>
      <c r="G138" s="47" t="str">
        <f>IFERROR(__xludf.DUMMYFUNCTION("IF($B138="""","""",IF(SUMPRODUCT((RASTREABILIDADE!$A$2:$A$2000=""C2"")*(RASTREABILIDADE!$F$2:$F$2000=""Sim"")*REGEXMATCH(RASTREABILIDADE!$E$2:$E$2000,""(^|[^A-Za-z0-9])""&amp;$B138&amp;""($|[^A-Za-z0-9])"")*(((RESUMO!$B$5=""Todas"")+(RASTREABILIDADE!$C$2:$C$2000="&amp;"RESUMO!$B$5))&gt;0)*(((RESUMO!$B$6=""Todas"")+(RASTREABILIDADE!$B$2:$B$2000=RESUMO!$B$6))&gt;0))&gt;0,1,0))"),"")</f>
        <v/>
      </c>
      <c r="H138" s="47" t="str">
        <f>IF(OR($C138="",$D138&lt;&gt;"Sim"),"",IF(COUNTIFS(RASTREABILIDADE!$A:$A,"C0",RASTREABILIDADE!$G:$G,$C138,RASTREABILIDADE!$H:$H,"Sim",RASTREABILIDADE!$C:$C,IF(RESUMO!$B$5="Todas","&lt;&gt;",RESUMO!$B$5),RASTREABILIDADE!$B:$B,IF(RESUMO!$B$6="Todas","&lt;&gt;",RESUMO!$B$6))&gt;0,1,0))</f>
        <v/>
      </c>
      <c r="I138" s="47" t="str">
        <f>IF(OR($C138="",$D138&lt;&gt;"Sim"),"",IF(COUNTIFS(RASTREABILIDADE!$A:$A,"C1",RASTREABILIDADE!$G:$G,$C138,RASTREABILIDADE!$H:$H,"Sim",RASTREABILIDADE!$C:$C,IF(RESUMO!$B$5="Todas","&lt;&gt;",RESUMO!$B$5),RASTREABILIDADE!$B:$B,IF(RESUMO!$B$6="Todas","&lt;&gt;",RESUMO!$B$6))&gt;0,1,0))</f>
        <v/>
      </c>
      <c r="J138" s="47" t="str">
        <f>IF(OR($C138="",$D138&lt;&gt;"Sim"),"",IF(COUNTIFS(RASTREABILIDADE!$A:$A,"C2",RASTREABILIDADE!$G:$G,$C138,RASTREABILIDADE!$H:$H,"Sim",RASTREABILIDADE!$C:$C,IF(RESUMO!$B$5="Todas","&lt;&gt;",RESUMO!$B$5),RASTREABILIDADE!$B:$B,IF(RESUMO!$B$6="Todas","&lt;&gt;",RESUMO!$B$6))&gt;0,1,0))</f>
        <v/>
      </c>
    </row>
    <row r="139" ht="15.75" customHeight="1">
      <c r="A139" s="47">
        <v>139.0</v>
      </c>
      <c r="B139" s="47" t="str">
        <f>IF(GABARITO!$B140="","",IF(COUNTIF(GABARITO!$B$4:$B140,GABARITO!$B140)=1,GABARITO!$B140,""))</f>
        <v/>
      </c>
      <c r="C139" s="47" t="str">
        <f>IF(GABARITO!$G140="","",GABARITO!$G140)</f>
        <v/>
      </c>
      <c r="D139" s="47" t="str">
        <f>IF(GABARITO!$J140="","",GABARITO!$J140)</f>
        <v/>
      </c>
      <c r="E139" s="47" t="str">
        <f>IFERROR(__xludf.DUMMYFUNCTION("IF($B139="""","""",IF(SUMPRODUCT((RASTREABILIDADE!$A$2:$A$2000=""C0"")*(RASTREABILIDADE!$F$2:$F$2000=""Sim"")*REGEXMATCH(RASTREABILIDADE!$E$2:$E$2000,""(^|[^A-Za-z0-9])""&amp;$B139&amp;""($|[^A-Za-z0-9])"")*(((RESUMO!$B$5=""Todas"")+(RASTREABILIDADE!$C$2:$C$2000="&amp;"RESUMO!$B$5))&gt;0)*(((RESUMO!$B$6=""Todas"")+(RASTREABILIDADE!$B$2:$B$2000=RESUMO!$B$6))&gt;0))&gt;0,1,0))"),"")</f>
        <v/>
      </c>
      <c r="F139" s="47" t="str">
        <f>IFERROR(__xludf.DUMMYFUNCTION("IF($B139="""","""",IF(SUMPRODUCT((RASTREABILIDADE!$A$2:$A$2000=""C1"")*(RASTREABILIDADE!$F$2:$F$2000=""Sim"")*REGEXMATCH(RASTREABILIDADE!$E$2:$E$2000,""(^|[^A-Za-z0-9])""&amp;$B139&amp;""($|[^A-Za-z0-9])"")*(((RESUMO!$B$5=""Todas"")+(RASTREABILIDADE!$C$2:$C$2000="&amp;"RESUMO!$B$5))&gt;0)*(((RESUMO!$B$6=""Todas"")+(RASTREABILIDADE!$B$2:$B$2000=RESUMO!$B$6))&gt;0))&gt;0,1,0))"),"")</f>
        <v/>
      </c>
      <c r="G139" s="47" t="str">
        <f>IFERROR(__xludf.DUMMYFUNCTION("IF($B139="""","""",IF(SUMPRODUCT((RASTREABILIDADE!$A$2:$A$2000=""C2"")*(RASTREABILIDADE!$F$2:$F$2000=""Sim"")*REGEXMATCH(RASTREABILIDADE!$E$2:$E$2000,""(^|[^A-Za-z0-9])""&amp;$B139&amp;""($|[^A-Za-z0-9])"")*(((RESUMO!$B$5=""Todas"")+(RASTREABILIDADE!$C$2:$C$2000="&amp;"RESUMO!$B$5))&gt;0)*(((RESUMO!$B$6=""Todas"")+(RASTREABILIDADE!$B$2:$B$2000=RESUMO!$B$6))&gt;0))&gt;0,1,0))"),"")</f>
        <v/>
      </c>
      <c r="H139" s="47" t="str">
        <f>IF(OR($C139="",$D139&lt;&gt;"Sim"),"",IF(COUNTIFS(RASTREABILIDADE!$A:$A,"C0",RASTREABILIDADE!$G:$G,$C139,RASTREABILIDADE!$H:$H,"Sim",RASTREABILIDADE!$C:$C,IF(RESUMO!$B$5="Todas","&lt;&gt;",RESUMO!$B$5),RASTREABILIDADE!$B:$B,IF(RESUMO!$B$6="Todas","&lt;&gt;",RESUMO!$B$6))&gt;0,1,0))</f>
        <v/>
      </c>
      <c r="I139" s="47" t="str">
        <f>IF(OR($C139="",$D139&lt;&gt;"Sim"),"",IF(COUNTIFS(RASTREABILIDADE!$A:$A,"C1",RASTREABILIDADE!$G:$G,$C139,RASTREABILIDADE!$H:$H,"Sim",RASTREABILIDADE!$C:$C,IF(RESUMO!$B$5="Todas","&lt;&gt;",RESUMO!$B$5),RASTREABILIDADE!$B:$B,IF(RESUMO!$B$6="Todas","&lt;&gt;",RESUMO!$B$6))&gt;0,1,0))</f>
        <v/>
      </c>
      <c r="J139" s="47" t="str">
        <f>IF(OR($C139="",$D139&lt;&gt;"Sim"),"",IF(COUNTIFS(RASTREABILIDADE!$A:$A,"C2",RASTREABILIDADE!$G:$G,$C139,RASTREABILIDADE!$H:$H,"Sim",RASTREABILIDADE!$C:$C,IF(RESUMO!$B$5="Todas","&lt;&gt;",RESUMO!$B$5),RASTREABILIDADE!$B:$B,IF(RESUMO!$B$6="Todas","&lt;&gt;",RESUMO!$B$6))&gt;0,1,0))</f>
        <v/>
      </c>
    </row>
    <row r="140" ht="15.75" customHeight="1">
      <c r="A140" s="47">
        <v>140.0</v>
      </c>
      <c r="B140" s="47" t="str">
        <f>IF(GABARITO!$B141="","",IF(COUNTIF(GABARITO!$B$4:$B141,GABARITO!$B141)=1,GABARITO!$B141,""))</f>
        <v/>
      </c>
      <c r="C140" s="47" t="str">
        <f>IF(GABARITO!$G141="","",GABARITO!$G141)</f>
        <v/>
      </c>
      <c r="D140" s="47" t="str">
        <f>IF(GABARITO!$J141="","",GABARITO!$J141)</f>
        <v/>
      </c>
      <c r="E140" s="47" t="str">
        <f>IFERROR(__xludf.DUMMYFUNCTION("IF($B140="""","""",IF(SUMPRODUCT((RASTREABILIDADE!$A$2:$A$2000=""C0"")*(RASTREABILIDADE!$F$2:$F$2000=""Sim"")*REGEXMATCH(RASTREABILIDADE!$E$2:$E$2000,""(^|[^A-Za-z0-9])""&amp;$B140&amp;""($|[^A-Za-z0-9])"")*(((RESUMO!$B$5=""Todas"")+(RASTREABILIDADE!$C$2:$C$2000="&amp;"RESUMO!$B$5))&gt;0)*(((RESUMO!$B$6=""Todas"")+(RASTREABILIDADE!$B$2:$B$2000=RESUMO!$B$6))&gt;0))&gt;0,1,0))"),"")</f>
        <v/>
      </c>
      <c r="F140" s="47" t="str">
        <f>IFERROR(__xludf.DUMMYFUNCTION("IF($B140="""","""",IF(SUMPRODUCT((RASTREABILIDADE!$A$2:$A$2000=""C1"")*(RASTREABILIDADE!$F$2:$F$2000=""Sim"")*REGEXMATCH(RASTREABILIDADE!$E$2:$E$2000,""(^|[^A-Za-z0-9])""&amp;$B140&amp;""($|[^A-Za-z0-9])"")*(((RESUMO!$B$5=""Todas"")+(RASTREABILIDADE!$C$2:$C$2000="&amp;"RESUMO!$B$5))&gt;0)*(((RESUMO!$B$6=""Todas"")+(RASTREABILIDADE!$B$2:$B$2000=RESUMO!$B$6))&gt;0))&gt;0,1,0))"),"")</f>
        <v/>
      </c>
      <c r="G140" s="47" t="str">
        <f>IFERROR(__xludf.DUMMYFUNCTION("IF($B140="""","""",IF(SUMPRODUCT((RASTREABILIDADE!$A$2:$A$2000=""C2"")*(RASTREABILIDADE!$F$2:$F$2000=""Sim"")*REGEXMATCH(RASTREABILIDADE!$E$2:$E$2000,""(^|[^A-Za-z0-9])""&amp;$B140&amp;""($|[^A-Za-z0-9])"")*(((RESUMO!$B$5=""Todas"")+(RASTREABILIDADE!$C$2:$C$2000="&amp;"RESUMO!$B$5))&gt;0)*(((RESUMO!$B$6=""Todas"")+(RASTREABILIDADE!$B$2:$B$2000=RESUMO!$B$6))&gt;0))&gt;0,1,0))"),"")</f>
        <v/>
      </c>
      <c r="H140" s="47" t="str">
        <f>IF(OR($C140="",$D140&lt;&gt;"Sim"),"",IF(COUNTIFS(RASTREABILIDADE!$A:$A,"C0",RASTREABILIDADE!$G:$G,$C140,RASTREABILIDADE!$H:$H,"Sim",RASTREABILIDADE!$C:$C,IF(RESUMO!$B$5="Todas","&lt;&gt;",RESUMO!$B$5),RASTREABILIDADE!$B:$B,IF(RESUMO!$B$6="Todas","&lt;&gt;",RESUMO!$B$6))&gt;0,1,0))</f>
        <v/>
      </c>
      <c r="I140" s="47" t="str">
        <f>IF(OR($C140="",$D140&lt;&gt;"Sim"),"",IF(COUNTIFS(RASTREABILIDADE!$A:$A,"C1",RASTREABILIDADE!$G:$G,$C140,RASTREABILIDADE!$H:$H,"Sim",RASTREABILIDADE!$C:$C,IF(RESUMO!$B$5="Todas","&lt;&gt;",RESUMO!$B$5),RASTREABILIDADE!$B:$B,IF(RESUMO!$B$6="Todas","&lt;&gt;",RESUMO!$B$6))&gt;0,1,0))</f>
        <v/>
      </c>
      <c r="J140" s="47" t="str">
        <f>IF(OR($C140="",$D140&lt;&gt;"Sim"),"",IF(COUNTIFS(RASTREABILIDADE!$A:$A,"C2",RASTREABILIDADE!$G:$G,$C140,RASTREABILIDADE!$H:$H,"Sim",RASTREABILIDADE!$C:$C,IF(RESUMO!$B$5="Todas","&lt;&gt;",RESUMO!$B$5),RASTREABILIDADE!$B:$B,IF(RESUMO!$B$6="Todas","&lt;&gt;",RESUMO!$B$6))&gt;0,1,0))</f>
        <v/>
      </c>
    </row>
    <row r="141" ht="15.75" customHeight="1">
      <c r="A141" s="47">
        <v>141.0</v>
      </c>
      <c r="B141" s="47" t="str">
        <f>IF(GABARITO!$B142="","",IF(COUNTIF(GABARITO!$B$4:$B142,GABARITO!$B142)=1,GABARITO!$B142,""))</f>
        <v/>
      </c>
      <c r="C141" s="47" t="str">
        <f>IF(GABARITO!$G142="","",GABARITO!$G142)</f>
        <v/>
      </c>
      <c r="D141" s="47" t="str">
        <f>IF(GABARITO!$J142="","",GABARITO!$J142)</f>
        <v/>
      </c>
      <c r="E141" s="47" t="str">
        <f>IFERROR(__xludf.DUMMYFUNCTION("IF($B141="""","""",IF(SUMPRODUCT((RASTREABILIDADE!$A$2:$A$2000=""C0"")*(RASTREABILIDADE!$F$2:$F$2000=""Sim"")*REGEXMATCH(RASTREABILIDADE!$E$2:$E$2000,""(^|[^A-Za-z0-9])""&amp;$B141&amp;""($|[^A-Za-z0-9])"")*(((RESUMO!$B$5=""Todas"")+(RASTREABILIDADE!$C$2:$C$2000="&amp;"RESUMO!$B$5))&gt;0)*(((RESUMO!$B$6=""Todas"")+(RASTREABILIDADE!$B$2:$B$2000=RESUMO!$B$6))&gt;0))&gt;0,1,0))"),"")</f>
        <v/>
      </c>
      <c r="F141" s="47" t="str">
        <f>IFERROR(__xludf.DUMMYFUNCTION("IF($B141="""","""",IF(SUMPRODUCT((RASTREABILIDADE!$A$2:$A$2000=""C1"")*(RASTREABILIDADE!$F$2:$F$2000=""Sim"")*REGEXMATCH(RASTREABILIDADE!$E$2:$E$2000,""(^|[^A-Za-z0-9])""&amp;$B141&amp;""($|[^A-Za-z0-9])"")*(((RESUMO!$B$5=""Todas"")+(RASTREABILIDADE!$C$2:$C$2000="&amp;"RESUMO!$B$5))&gt;0)*(((RESUMO!$B$6=""Todas"")+(RASTREABILIDADE!$B$2:$B$2000=RESUMO!$B$6))&gt;0))&gt;0,1,0))"),"")</f>
        <v/>
      </c>
      <c r="G141" s="47" t="str">
        <f>IFERROR(__xludf.DUMMYFUNCTION("IF($B141="""","""",IF(SUMPRODUCT((RASTREABILIDADE!$A$2:$A$2000=""C2"")*(RASTREABILIDADE!$F$2:$F$2000=""Sim"")*REGEXMATCH(RASTREABILIDADE!$E$2:$E$2000,""(^|[^A-Za-z0-9])""&amp;$B141&amp;""($|[^A-Za-z0-9])"")*(((RESUMO!$B$5=""Todas"")+(RASTREABILIDADE!$C$2:$C$2000="&amp;"RESUMO!$B$5))&gt;0)*(((RESUMO!$B$6=""Todas"")+(RASTREABILIDADE!$B$2:$B$2000=RESUMO!$B$6))&gt;0))&gt;0,1,0))"),"")</f>
        <v/>
      </c>
      <c r="H141" s="47" t="str">
        <f>IF(OR($C141="",$D141&lt;&gt;"Sim"),"",IF(COUNTIFS(RASTREABILIDADE!$A:$A,"C0",RASTREABILIDADE!$G:$G,$C141,RASTREABILIDADE!$H:$H,"Sim",RASTREABILIDADE!$C:$C,IF(RESUMO!$B$5="Todas","&lt;&gt;",RESUMO!$B$5),RASTREABILIDADE!$B:$B,IF(RESUMO!$B$6="Todas","&lt;&gt;",RESUMO!$B$6))&gt;0,1,0))</f>
        <v/>
      </c>
      <c r="I141" s="47" t="str">
        <f>IF(OR($C141="",$D141&lt;&gt;"Sim"),"",IF(COUNTIFS(RASTREABILIDADE!$A:$A,"C1",RASTREABILIDADE!$G:$G,$C141,RASTREABILIDADE!$H:$H,"Sim",RASTREABILIDADE!$C:$C,IF(RESUMO!$B$5="Todas","&lt;&gt;",RESUMO!$B$5),RASTREABILIDADE!$B:$B,IF(RESUMO!$B$6="Todas","&lt;&gt;",RESUMO!$B$6))&gt;0,1,0))</f>
        <v/>
      </c>
      <c r="J141" s="47" t="str">
        <f>IF(OR($C141="",$D141&lt;&gt;"Sim"),"",IF(COUNTIFS(RASTREABILIDADE!$A:$A,"C2",RASTREABILIDADE!$G:$G,$C141,RASTREABILIDADE!$H:$H,"Sim",RASTREABILIDADE!$C:$C,IF(RESUMO!$B$5="Todas","&lt;&gt;",RESUMO!$B$5),RASTREABILIDADE!$B:$B,IF(RESUMO!$B$6="Todas","&lt;&gt;",RESUMO!$B$6))&gt;0,1,0))</f>
        <v/>
      </c>
    </row>
    <row r="142" ht="15.75" customHeight="1">
      <c r="A142" s="47">
        <v>142.0</v>
      </c>
      <c r="B142" s="47" t="str">
        <f>IF(GABARITO!$B143="","",IF(COUNTIF(GABARITO!$B$4:$B143,GABARITO!$B143)=1,GABARITO!$B143,""))</f>
        <v/>
      </c>
      <c r="C142" s="47" t="str">
        <f>IF(GABARITO!$G143="","",GABARITO!$G143)</f>
        <v/>
      </c>
      <c r="D142" s="47" t="str">
        <f>IF(GABARITO!$J143="","",GABARITO!$J143)</f>
        <v/>
      </c>
      <c r="E142" s="47" t="str">
        <f>IFERROR(__xludf.DUMMYFUNCTION("IF($B142="""","""",IF(SUMPRODUCT((RASTREABILIDADE!$A$2:$A$2000=""C0"")*(RASTREABILIDADE!$F$2:$F$2000=""Sim"")*REGEXMATCH(RASTREABILIDADE!$E$2:$E$2000,""(^|[^A-Za-z0-9])""&amp;$B142&amp;""($|[^A-Za-z0-9])"")*(((RESUMO!$B$5=""Todas"")+(RASTREABILIDADE!$C$2:$C$2000="&amp;"RESUMO!$B$5))&gt;0)*(((RESUMO!$B$6=""Todas"")+(RASTREABILIDADE!$B$2:$B$2000=RESUMO!$B$6))&gt;0))&gt;0,1,0))"),"")</f>
        <v/>
      </c>
      <c r="F142" s="47" t="str">
        <f>IFERROR(__xludf.DUMMYFUNCTION("IF($B142="""","""",IF(SUMPRODUCT((RASTREABILIDADE!$A$2:$A$2000=""C1"")*(RASTREABILIDADE!$F$2:$F$2000=""Sim"")*REGEXMATCH(RASTREABILIDADE!$E$2:$E$2000,""(^|[^A-Za-z0-9])""&amp;$B142&amp;""($|[^A-Za-z0-9])"")*(((RESUMO!$B$5=""Todas"")+(RASTREABILIDADE!$C$2:$C$2000="&amp;"RESUMO!$B$5))&gt;0)*(((RESUMO!$B$6=""Todas"")+(RASTREABILIDADE!$B$2:$B$2000=RESUMO!$B$6))&gt;0))&gt;0,1,0))"),"")</f>
        <v/>
      </c>
      <c r="G142" s="47" t="str">
        <f>IFERROR(__xludf.DUMMYFUNCTION("IF($B142="""","""",IF(SUMPRODUCT((RASTREABILIDADE!$A$2:$A$2000=""C2"")*(RASTREABILIDADE!$F$2:$F$2000=""Sim"")*REGEXMATCH(RASTREABILIDADE!$E$2:$E$2000,""(^|[^A-Za-z0-9])""&amp;$B142&amp;""($|[^A-Za-z0-9])"")*(((RESUMO!$B$5=""Todas"")+(RASTREABILIDADE!$C$2:$C$2000="&amp;"RESUMO!$B$5))&gt;0)*(((RESUMO!$B$6=""Todas"")+(RASTREABILIDADE!$B$2:$B$2000=RESUMO!$B$6))&gt;0))&gt;0,1,0))"),"")</f>
        <v/>
      </c>
      <c r="H142" s="47" t="str">
        <f>IF(OR($C142="",$D142&lt;&gt;"Sim"),"",IF(COUNTIFS(RASTREABILIDADE!$A:$A,"C0",RASTREABILIDADE!$G:$G,$C142,RASTREABILIDADE!$H:$H,"Sim",RASTREABILIDADE!$C:$C,IF(RESUMO!$B$5="Todas","&lt;&gt;",RESUMO!$B$5),RASTREABILIDADE!$B:$B,IF(RESUMO!$B$6="Todas","&lt;&gt;",RESUMO!$B$6))&gt;0,1,0))</f>
        <v/>
      </c>
      <c r="I142" s="47" t="str">
        <f>IF(OR($C142="",$D142&lt;&gt;"Sim"),"",IF(COUNTIFS(RASTREABILIDADE!$A:$A,"C1",RASTREABILIDADE!$G:$G,$C142,RASTREABILIDADE!$H:$H,"Sim",RASTREABILIDADE!$C:$C,IF(RESUMO!$B$5="Todas","&lt;&gt;",RESUMO!$B$5),RASTREABILIDADE!$B:$B,IF(RESUMO!$B$6="Todas","&lt;&gt;",RESUMO!$B$6))&gt;0,1,0))</f>
        <v/>
      </c>
      <c r="J142" s="47" t="str">
        <f>IF(OR($C142="",$D142&lt;&gt;"Sim"),"",IF(COUNTIFS(RASTREABILIDADE!$A:$A,"C2",RASTREABILIDADE!$G:$G,$C142,RASTREABILIDADE!$H:$H,"Sim",RASTREABILIDADE!$C:$C,IF(RESUMO!$B$5="Todas","&lt;&gt;",RESUMO!$B$5),RASTREABILIDADE!$B:$B,IF(RESUMO!$B$6="Todas","&lt;&gt;",RESUMO!$B$6))&gt;0,1,0))</f>
        <v/>
      </c>
    </row>
    <row r="143" ht="15.75" customHeight="1">
      <c r="A143" s="47">
        <v>143.0</v>
      </c>
      <c r="B143" s="47" t="str">
        <f>IF(GABARITO!$B144="","",IF(COUNTIF(GABARITO!$B$4:$B144,GABARITO!$B144)=1,GABARITO!$B144,""))</f>
        <v/>
      </c>
      <c r="C143" s="47" t="str">
        <f>IF(GABARITO!$G144="","",GABARITO!$G144)</f>
        <v/>
      </c>
      <c r="D143" s="47" t="str">
        <f>IF(GABARITO!$J144="","",GABARITO!$J144)</f>
        <v/>
      </c>
      <c r="E143" s="47" t="str">
        <f>IFERROR(__xludf.DUMMYFUNCTION("IF($B143="""","""",IF(SUMPRODUCT((RASTREABILIDADE!$A$2:$A$2000=""C0"")*(RASTREABILIDADE!$F$2:$F$2000=""Sim"")*REGEXMATCH(RASTREABILIDADE!$E$2:$E$2000,""(^|[^A-Za-z0-9])""&amp;$B143&amp;""($|[^A-Za-z0-9])"")*(((RESUMO!$B$5=""Todas"")+(RASTREABILIDADE!$C$2:$C$2000="&amp;"RESUMO!$B$5))&gt;0)*(((RESUMO!$B$6=""Todas"")+(RASTREABILIDADE!$B$2:$B$2000=RESUMO!$B$6))&gt;0))&gt;0,1,0))"),"")</f>
        <v/>
      </c>
      <c r="F143" s="47" t="str">
        <f>IFERROR(__xludf.DUMMYFUNCTION("IF($B143="""","""",IF(SUMPRODUCT((RASTREABILIDADE!$A$2:$A$2000=""C1"")*(RASTREABILIDADE!$F$2:$F$2000=""Sim"")*REGEXMATCH(RASTREABILIDADE!$E$2:$E$2000,""(^|[^A-Za-z0-9])""&amp;$B143&amp;""($|[^A-Za-z0-9])"")*(((RESUMO!$B$5=""Todas"")+(RASTREABILIDADE!$C$2:$C$2000="&amp;"RESUMO!$B$5))&gt;0)*(((RESUMO!$B$6=""Todas"")+(RASTREABILIDADE!$B$2:$B$2000=RESUMO!$B$6))&gt;0))&gt;0,1,0))"),"")</f>
        <v/>
      </c>
      <c r="G143" s="47" t="str">
        <f>IFERROR(__xludf.DUMMYFUNCTION("IF($B143="""","""",IF(SUMPRODUCT((RASTREABILIDADE!$A$2:$A$2000=""C2"")*(RASTREABILIDADE!$F$2:$F$2000=""Sim"")*REGEXMATCH(RASTREABILIDADE!$E$2:$E$2000,""(^|[^A-Za-z0-9])""&amp;$B143&amp;""($|[^A-Za-z0-9])"")*(((RESUMO!$B$5=""Todas"")+(RASTREABILIDADE!$C$2:$C$2000="&amp;"RESUMO!$B$5))&gt;0)*(((RESUMO!$B$6=""Todas"")+(RASTREABILIDADE!$B$2:$B$2000=RESUMO!$B$6))&gt;0))&gt;0,1,0))"),"")</f>
        <v/>
      </c>
      <c r="H143" s="47" t="str">
        <f>IF(OR($C143="",$D143&lt;&gt;"Sim"),"",IF(COUNTIFS(RASTREABILIDADE!$A:$A,"C0",RASTREABILIDADE!$G:$G,$C143,RASTREABILIDADE!$H:$H,"Sim",RASTREABILIDADE!$C:$C,IF(RESUMO!$B$5="Todas","&lt;&gt;",RESUMO!$B$5),RASTREABILIDADE!$B:$B,IF(RESUMO!$B$6="Todas","&lt;&gt;",RESUMO!$B$6))&gt;0,1,0))</f>
        <v/>
      </c>
      <c r="I143" s="47" t="str">
        <f>IF(OR($C143="",$D143&lt;&gt;"Sim"),"",IF(COUNTIFS(RASTREABILIDADE!$A:$A,"C1",RASTREABILIDADE!$G:$G,$C143,RASTREABILIDADE!$H:$H,"Sim",RASTREABILIDADE!$C:$C,IF(RESUMO!$B$5="Todas","&lt;&gt;",RESUMO!$B$5),RASTREABILIDADE!$B:$B,IF(RESUMO!$B$6="Todas","&lt;&gt;",RESUMO!$B$6))&gt;0,1,0))</f>
        <v/>
      </c>
      <c r="J143" s="47" t="str">
        <f>IF(OR($C143="",$D143&lt;&gt;"Sim"),"",IF(COUNTIFS(RASTREABILIDADE!$A:$A,"C2",RASTREABILIDADE!$G:$G,$C143,RASTREABILIDADE!$H:$H,"Sim",RASTREABILIDADE!$C:$C,IF(RESUMO!$B$5="Todas","&lt;&gt;",RESUMO!$B$5),RASTREABILIDADE!$B:$B,IF(RESUMO!$B$6="Todas","&lt;&gt;",RESUMO!$B$6))&gt;0,1,0))</f>
        <v/>
      </c>
    </row>
    <row r="144" ht="15.75" customHeight="1">
      <c r="A144" s="47">
        <v>144.0</v>
      </c>
      <c r="B144" s="47" t="str">
        <f>IF(GABARITO!$B145="","",IF(COUNTIF(GABARITO!$B$4:$B145,GABARITO!$B145)=1,GABARITO!$B145,""))</f>
        <v/>
      </c>
      <c r="C144" s="47" t="str">
        <f>IF(GABARITO!$G145="","",GABARITO!$G145)</f>
        <v/>
      </c>
      <c r="D144" s="47" t="str">
        <f>IF(GABARITO!$J145="","",GABARITO!$J145)</f>
        <v/>
      </c>
      <c r="E144" s="47" t="str">
        <f>IFERROR(__xludf.DUMMYFUNCTION("IF($B144="""","""",IF(SUMPRODUCT((RASTREABILIDADE!$A$2:$A$2000=""C0"")*(RASTREABILIDADE!$F$2:$F$2000=""Sim"")*REGEXMATCH(RASTREABILIDADE!$E$2:$E$2000,""(^|[^A-Za-z0-9])""&amp;$B144&amp;""($|[^A-Za-z0-9])"")*(((RESUMO!$B$5=""Todas"")+(RASTREABILIDADE!$C$2:$C$2000="&amp;"RESUMO!$B$5))&gt;0)*(((RESUMO!$B$6=""Todas"")+(RASTREABILIDADE!$B$2:$B$2000=RESUMO!$B$6))&gt;0))&gt;0,1,0))"),"")</f>
        <v/>
      </c>
      <c r="F144" s="47" t="str">
        <f>IFERROR(__xludf.DUMMYFUNCTION("IF($B144="""","""",IF(SUMPRODUCT((RASTREABILIDADE!$A$2:$A$2000=""C1"")*(RASTREABILIDADE!$F$2:$F$2000=""Sim"")*REGEXMATCH(RASTREABILIDADE!$E$2:$E$2000,""(^|[^A-Za-z0-9])""&amp;$B144&amp;""($|[^A-Za-z0-9])"")*(((RESUMO!$B$5=""Todas"")+(RASTREABILIDADE!$C$2:$C$2000="&amp;"RESUMO!$B$5))&gt;0)*(((RESUMO!$B$6=""Todas"")+(RASTREABILIDADE!$B$2:$B$2000=RESUMO!$B$6))&gt;0))&gt;0,1,0))"),"")</f>
        <v/>
      </c>
      <c r="G144" s="47" t="str">
        <f>IFERROR(__xludf.DUMMYFUNCTION("IF($B144="""","""",IF(SUMPRODUCT((RASTREABILIDADE!$A$2:$A$2000=""C2"")*(RASTREABILIDADE!$F$2:$F$2000=""Sim"")*REGEXMATCH(RASTREABILIDADE!$E$2:$E$2000,""(^|[^A-Za-z0-9])""&amp;$B144&amp;""($|[^A-Za-z0-9])"")*(((RESUMO!$B$5=""Todas"")+(RASTREABILIDADE!$C$2:$C$2000="&amp;"RESUMO!$B$5))&gt;0)*(((RESUMO!$B$6=""Todas"")+(RASTREABILIDADE!$B$2:$B$2000=RESUMO!$B$6))&gt;0))&gt;0,1,0))"),"")</f>
        <v/>
      </c>
      <c r="H144" s="47" t="str">
        <f>IF(OR($C144="",$D144&lt;&gt;"Sim"),"",IF(COUNTIFS(RASTREABILIDADE!$A:$A,"C0",RASTREABILIDADE!$G:$G,$C144,RASTREABILIDADE!$H:$H,"Sim",RASTREABILIDADE!$C:$C,IF(RESUMO!$B$5="Todas","&lt;&gt;",RESUMO!$B$5),RASTREABILIDADE!$B:$B,IF(RESUMO!$B$6="Todas","&lt;&gt;",RESUMO!$B$6))&gt;0,1,0))</f>
        <v/>
      </c>
      <c r="I144" s="47" t="str">
        <f>IF(OR($C144="",$D144&lt;&gt;"Sim"),"",IF(COUNTIFS(RASTREABILIDADE!$A:$A,"C1",RASTREABILIDADE!$G:$G,$C144,RASTREABILIDADE!$H:$H,"Sim",RASTREABILIDADE!$C:$C,IF(RESUMO!$B$5="Todas","&lt;&gt;",RESUMO!$B$5),RASTREABILIDADE!$B:$B,IF(RESUMO!$B$6="Todas","&lt;&gt;",RESUMO!$B$6))&gt;0,1,0))</f>
        <v/>
      </c>
      <c r="J144" s="47" t="str">
        <f>IF(OR($C144="",$D144&lt;&gt;"Sim"),"",IF(COUNTIFS(RASTREABILIDADE!$A:$A,"C2",RASTREABILIDADE!$G:$G,$C144,RASTREABILIDADE!$H:$H,"Sim",RASTREABILIDADE!$C:$C,IF(RESUMO!$B$5="Todas","&lt;&gt;",RESUMO!$B$5),RASTREABILIDADE!$B:$B,IF(RESUMO!$B$6="Todas","&lt;&gt;",RESUMO!$B$6))&gt;0,1,0))</f>
        <v/>
      </c>
    </row>
    <row r="145" ht="15.75" customHeight="1">
      <c r="A145" s="47">
        <v>145.0</v>
      </c>
      <c r="B145" s="47" t="str">
        <f>IF(GABARITO!$B146="","",IF(COUNTIF(GABARITO!$B$4:$B146,GABARITO!$B146)=1,GABARITO!$B146,""))</f>
        <v/>
      </c>
      <c r="C145" s="47" t="str">
        <f>IF(GABARITO!$G146="","",GABARITO!$G146)</f>
        <v/>
      </c>
      <c r="D145" s="47" t="str">
        <f>IF(GABARITO!$J146="","",GABARITO!$J146)</f>
        <v/>
      </c>
      <c r="E145" s="47" t="str">
        <f>IFERROR(__xludf.DUMMYFUNCTION("IF($B145="""","""",IF(SUMPRODUCT((RASTREABILIDADE!$A$2:$A$2000=""C0"")*(RASTREABILIDADE!$F$2:$F$2000=""Sim"")*REGEXMATCH(RASTREABILIDADE!$E$2:$E$2000,""(^|[^A-Za-z0-9])""&amp;$B145&amp;""($|[^A-Za-z0-9])"")*(((RESUMO!$B$5=""Todas"")+(RASTREABILIDADE!$C$2:$C$2000="&amp;"RESUMO!$B$5))&gt;0)*(((RESUMO!$B$6=""Todas"")+(RASTREABILIDADE!$B$2:$B$2000=RESUMO!$B$6))&gt;0))&gt;0,1,0))"),"")</f>
        <v/>
      </c>
      <c r="F145" s="47" t="str">
        <f>IFERROR(__xludf.DUMMYFUNCTION("IF($B145="""","""",IF(SUMPRODUCT((RASTREABILIDADE!$A$2:$A$2000=""C1"")*(RASTREABILIDADE!$F$2:$F$2000=""Sim"")*REGEXMATCH(RASTREABILIDADE!$E$2:$E$2000,""(^|[^A-Za-z0-9])""&amp;$B145&amp;""($|[^A-Za-z0-9])"")*(((RESUMO!$B$5=""Todas"")+(RASTREABILIDADE!$C$2:$C$2000="&amp;"RESUMO!$B$5))&gt;0)*(((RESUMO!$B$6=""Todas"")+(RASTREABILIDADE!$B$2:$B$2000=RESUMO!$B$6))&gt;0))&gt;0,1,0))"),"")</f>
        <v/>
      </c>
      <c r="G145" s="47" t="str">
        <f>IFERROR(__xludf.DUMMYFUNCTION("IF($B145="""","""",IF(SUMPRODUCT((RASTREABILIDADE!$A$2:$A$2000=""C2"")*(RASTREABILIDADE!$F$2:$F$2000=""Sim"")*REGEXMATCH(RASTREABILIDADE!$E$2:$E$2000,""(^|[^A-Za-z0-9])""&amp;$B145&amp;""($|[^A-Za-z0-9])"")*(((RESUMO!$B$5=""Todas"")+(RASTREABILIDADE!$C$2:$C$2000="&amp;"RESUMO!$B$5))&gt;0)*(((RESUMO!$B$6=""Todas"")+(RASTREABILIDADE!$B$2:$B$2000=RESUMO!$B$6))&gt;0))&gt;0,1,0))"),"")</f>
        <v/>
      </c>
      <c r="H145" s="47" t="str">
        <f>IF(OR($C145="",$D145&lt;&gt;"Sim"),"",IF(COUNTIFS(RASTREABILIDADE!$A:$A,"C0",RASTREABILIDADE!$G:$G,$C145,RASTREABILIDADE!$H:$H,"Sim",RASTREABILIDADE!$C:$C,IF(RESUMO!$B$5="Todas","&lt;&gt;",RESUMO!$B$5),RASTREABILIDADE!$B:$B,IF(RESUMO!$B$6="Todas","&lt;&gt;",RESUMO!$B$6))&gt;0,1,0))</f>
        <v/>
      </c>
      <c r="I145" s="47" t="str">
        <f>IF(OR($C145="",$D145&lt;&gt;"Sim"),"",IF(COUNTIFS(RASTREABILIDADE!$A:$A,"C1",RASTREABILIDADE!$G:$G,$C145,RASTREABILIDADE!$H:$H,"Sim",RASTREABILIDADE!$C:$C,IF(RESUMO!$B$5="Todas","&lt;&gt;",RESUMO!$B$5),RASTREABILIDADE!$B:$B,IF(RESUMO!$B$6="Todas","&lt;&gt;",RESUMO!$B$6))&gt;0,1,0))</f>
        <v/>
      </c>
      <c r="J145" s="47" t="str">
        <f>IF(OR($C145="",$D145&lt;&gt;"Sim"),"",IF(COUNTIFS(RASTREABILIDADE!$A:$A,"C2",RASTREABILIDADE!$G:$G,$C145,RASTREABILIDADE!$H:$H,"Sim",RASTREABILIDADE!$C:$C,IF(RESUMO!$B$5="Todas","&lt;&gt;",RESUMO!$B$5),RASTREABILIDADE!$B:$B,IF(RESUMO!$B$6="Todas","&lt;&gt;",RESUMO!$B$6))&gt;0,1,0))</f>
        <v/>
      </c>
    </row>
    <row r="146" ht="15.75" customHeight="1">
      <c r="A146" s="47">
        <v>146.0</v>
      </c>
      <c r="B146" s="47" t="str">
        <f>IF(GABARITO!$B147="","",IF(COUNTIF(GABARITO!$B$4:$B147,GABARITO!$B147)=1,GABARITO!$B147,""))</f>
        <v/>
      </c>
      <c r="C146" s="47" t="str">
        <f>IF(GABARITO!$G147="","",GABARITO!$G147)</f>
        <v/>
      </c>
      <c r="D146" s="47" t="str">
        <f>IF(GABARITO!$J147="","",GABARITO!$J147)</f>
        <v/>
      </c>
      <c r="E146" s="47" t="str">
        <f>IFERROR(__xludf.DUMMYFUNCTION("IF($B146="""","""",IF(SUMPRODUCT((RASTREABILIDADE!$A$2:$A$2000=""C0"")*(RASTREABILIDADE!$F$2:$F$2000=""Sim"")*REGEXMATCH(RASTREABILIDADE!$E$2:$E$2000,""(^|[^A-Za-z0-9])""&amp;$B146&amp;""($|[^A-Za-z0-9])"")*(((RESUMO!$B$5=""Todas"")+(RASTREABILIDADE!$C$2:$C$2000="&amp;"RESUMO!$B$5))&gt;0)*(((RESUMO!$B$6=""Todas"")+(RASTREABILIDADE!$B$2:$B$2000=RESUMO!$B$6))&gt;0))&gt;0,1,0))"),"")</f>
        <v/>
      </c>
      <c r="F146" s="47" t="str">
        <f>IFERROR(__xludf.DUMMYFUNCTION("IF($B146="""","""",IF(SUMPRODUCT((RASTREABILIDADE!$A$2:$A$2000=""C1"")*(RASTREABILIDADE!$F$2:$F$2000=""Sim"")*REGEXMATCH(RASTREABILIDADE!$E$2:$E$2000,""(^|[^A-Za-z0-9])""&amp;$B146&amp;""($|[^A-Za-z0-9])"")*(((RESUMO!$B$5=""Todas"")+(RASTREABILIDADE!$C$2:$C$2000="&amp;"RESUMO!$B$5))&gt;0)*(((RESUMO!$B$6=""Todas"")+(RASTREABILIDADE!$B$2:$B$2000=RESUMO!$B$6))&gt;0))&gt;0,1,0))"),"")</f>
        <v/>
      </c>
      <c r="G146" s="47" t="str">
        <f>IFERROR(__xludf.DUMMYFUNCTION("IF($B146="""","""",IF(SUMPRODUCT((RASTREABILIDADE!$A$2:$A$2000=""C2"")*(RASTREABILIDADE!$F$2:$F$2000=""Sim"")*REGEXMATCH(RASTREABILIDADE!$E$2:$E$2000,""(^|[^A-Za-z0-9])""&amp;$B146&amp;""($|[^A-Za-z0-9])"")*(((RESUMO!$B$5=""Todas"")+(RASTREABILIDADE!$C$2:$C$2000="&amp;"RESUMO!$B$5))&gt;0)*(((RESUMO!$B$6=""Todas"")+(RASTREABILIDADE!$B$2:$B$2000=RESUMO!$B$6))&gt;0))&gt;0,1,0))"),"")</f>
        <v/>
      </c>
      <c r="H146" s="47" t="str">
        <f>IF(OR($C146="",$D146&lt;&gt;"Sim"),"",IF(COUNTIFS(RASTREABILIDADE!$A:$A,"C0",RASTREABILIDADE!$G:$G,$C146,RASTREABILIDADE!$H:$H,"Sim",RASTREABILIDADE!$C:$C,IF(RESUMO!$B$5="Todas","&lt;&gt;",RESUMO!$B$5),RASTREABILIDADE!$B:$B,IF(RESUMO!$B$6="Todas","&lt;&gt;",RESUMO!$B$6))&gt;0,1,0))</f>
        <v/>
      </c>
      <c r="I146" s="47" t="str">
        <f>IF(OR($C146="",$D146&lt;&gt;"Sim"),"",IF(COUNTIFS(RASTREABILIDADE!$A:$A,"C1",RASTREABILIDADE!$G:$G,$C146,RASTREABILIDADE!$H:$H,"Sim",RASTREABILIDADE!$C:$C,IF(RESUMO!$B$5="Todas","&lt;&gt;",RESUMO!$B$5),RASTREABILIDADE!$B:$B,IF(RESUMO!$B$6="Todas","&lt;&gt;",RESUMO!$B$6))&gt;0,1,0))</f>
        <v/>
      </c>
      <c r="J146" s="47" t="str">
        <f>IF(OR($C146="",$D146&lt;&gt;"Sim"),"",IF(COUNTIFS(RASTREABILIDADE!$A:$A,"C2",RASTREABILIDADE!$G:$G,$C146,RASTREABILIDADE!$H:$H,"Sim",RASTREABILIDADE!$C:$C,IF(RESUMO!$B$5="Todas","&lt;&gt;",RESUMO!$B$5),RASTREABILIDADE!$B:$B,IF(RESUMO!$B$6="Todas","&lt;&gt;",RESUMO!$B$6))&gt;0,1,0))</f>
        <v/>
      </c>
    </row>
    <row r="147" ht="15.75" customHeight="1">
      <c r="A147" s="47">
        <v>147.0</v>
      </c>
      <c r="B147" s="47" t="str">
        <f>IF(GABARITO!$B148="","",IF(COUNTIF(GABARITO!$B$4:$B148,GABARITO!$B148)=1,GABARITO!$B148,""))</f>
        <v/>
      </c>
      <c r="C147" s="47" t="str">
        <f>IF(GABARITO!$G148="","",GABARITO!$G148)</f>
        <v/>
      </c>
      <c r="D147" s="47" t="str">
        <f>IF(GABARITO!$J148="","",GABARITO!$J148)</f>
        <v/>
      </c>
      <c r="E147" s="47" t="str">
        <f>IFERROR(__xludf.DUMMYFUNCTION("IF($B147="""","""",IF(SUMPRODUCT((RASTREABILIDADE!$A$2:$A$2000=""C0"")*(RASTREABILIDADE!$F$2:$F$2000=""Sim"")*REGEXMATCH(RASTREABILIDADE!$E$2:$E$2000,""(^|[^A-Za-z0-9])""&amp;$B147&amp;""($|[^A-Za-z0-9])"")*(((RESUMO!$B$5=""Todas"")+(RASTREABILIDADE!$C$2:$C$2000="&amp;"RESUMO!$B$5))&gt;0)*(((RESUMO!$B$6=""Todas"")+(RASTREABILIDADE!$B$2:$B$2000=RESUMO!$B$6))&gt;0))&gt;0,1,0))"),"")</f>
        <v/>
      </c>
      <c r="F147" s="47" t="str">
        <f>IFERROR(__xludf.DUMMYFUNCTION("IF($B147="""","""",IF(SUMPRODUCT((RASTREABILIDADE!$A$2:$A$2000=""C1"")*(RASTREABILIDADE!$F$2:$F$2000=""Sim"")*REGEXMATCH(RASTREABILIDADE!$E$2:$E$2000,""(^|[^A-Za-z0-9])""&amp;$B147&amp;""($|[^A-Za-z0-9])"")*(((RESUMO!$B$5=""Todas"")+(RASTREABILIDADE!$C$2:$C$2000="&amp;"RESUMO!$B$5))&gt;0)*(((RESUMO!$B$6=""Todas"")+(RASTREABILIDADE!$B$2:$B$2000=RESUMO!$B$6))&gt;0))&gt;0,1,0))"),"")</f>
        <v/>
      </c>
      <c r="G147" s="47" t="str">
        <f>IFERROR(__xludf.DUMMYFUNCTION("IF($B147="""","""",IF(SUMPRODUCT((RASTREABILIDADE!$A$2:$A$2000=""C2"")*(RASTREABILIDADE!$F$2:$F$2000=""Sim"")*REGEXMATCH(RASTREABILIDADE!$E$2:$E$2000,""(^|[^A-Za-z0-9])""&amp;$B147&amp;""($|[^A-Za-z0-9])"")*(((RESUMO!$B$5=""Todas"")+(RASTREABILIDADE!$C$2:$C$2000="&amp;"RESUMO!$B$5))&gt;0)*(((RESUMO!$B$6=""Todas"")+(RASTREABILIDADE!$B$2:$B$2000=RESUMO!$B$6))&gt;0))&gt;0,1,0))"),"")</f>
        <v/>
      </c>
      <c r="H147" s="47" t="str">
        <f>IF(OR($C147="",$D147&lt;&gt;"Sim"),"",IF(COUNTIFS(RASTREABILIDADE!$A:$A,"C0",RASTREABILIDADE!$G:$G,$C147,RASTREABILIDADE!$H:$H,"Sim",RASTREABILIDADE!$C:$C,IF(RESUMO!$B$5="Todas","&lt;&gt;",RESUMO!$B$5),RASTREABILIDADE!$B:$B,IF(RESUMO!$B$6="Todas","&lt;&gt;",RESUMO!$B$6))&gt;0,1,0))</f>
        <v/>
      </c>
      <c r="I147" s="47" t="str">
        <f>IF(OR($C147="",$D147&lt;&gt;"Sim"),"",IF(COUNTIFS(RASTREABILIDADE!$A:$A,"C1",RASTREABILIDADE!$G:$G,$C147,RASTREABILIDADE!$H:$H,"Sim",RASTREABILIDADE!$C:$C,IF(RESUMO!$B$5="Todas","&lt;&gt;",RESUMO!$B$5),RASTREABILIDADE!$B:$B,IF(RESUMO!$B$6="Todas","&lt;&gt;",RESUMO!$B$6))&gt;0,1,0))</f>
        <v/>
      </c>
      <c r="J147" s="47" t="str">
        <f>IF(OR($C147="",$D147&lt;&gt;"Sim"),"",IF(COUNTIFS(RASTREABILIDADE!$A:$A,"C2",RASTREABILIDADE!$G:$G,$C147,RASTREABILIDADE!$H:$H,"Sim",RASTREABILIDADE!$C:$C,IF(RESUMO!$B$5="Todas","&lt;&gt;",RESUMO!$B$5),RASTREABILIDADE!$B:$B,IF(RESUMO!$B$6="Todas","&lt;&gt;",RESUMO!$B$6))&gt;0,1,0))</f>
        <v/>
      </c>
    </row>
    <row r="148" ht="15.75" customHeight="1">
      <c r="A148" s="47">
        <v>148.0</v>
      </c>
      <c r="B148" s="47" t="str">
        <f>IF(GABARITO!$B149="","",IF(COUNTIF(GABARITO!$B$4:$B149,GABARITO!$B149)=1,GABARITO!$B149,""))</f>
        <v/>
      </c>
      <c r="C148" s="47" t="str">
        <f>IF(GABARITO!$G149="","",GABARITO!$G149)</f>
        <v/>
      </c>
      <c r="D148" s="47" t="str">
        <f>IF(GABARITO!$J149="","",GABARITO!$J149)</f>
        <v/>
      </c>
      <c r="E148" s="47" t="str">
        <f>IFERROR(__xludf.DUMMYFUNCTION("IF($B148="""","""",IF(SUMPRODUCT((RASTREABILIDADE!$A$2:$A$2000=""C0"")*(RASTREABILIDADE!$F$2:$F$2000=""Sim"")*REGEXMATCH(RASTREABILIDADE!$E$2:$E$2000,""(^|[^A-Za-z0-9])""&amp;$B148&amp;""($|[^A-Za-z0-9])"")*(((RESUMO!$B$5=""Todas"")+(RASTREABILIDADE!$C$2:$C$2000="&amp;"RESUMO!$B$5))&gt;0)*(((RESUMO!$B$6=""Todas"")+(RASTREABILIDADE!$B$2:$B$2000=RESUMO!$B$6))&gt;0))&gt;0,1,0))"),"")</f>
        <v/>
      </c>
      <c r="F148" s="47" t="str">
        <f>IFERROR(__xludf.DUMMYFUNCTION("IF($B148="""","""",IF(SUMPRODUCT((RASTREABILIDADE!$A$2:$A$2000=""C1"")*(RASTREABILIDADE!$F$2:$F$2000=""Sim"")*REGEXMATCH(RASTREABILIDADE!$E$2:$E$2000,""(^|[^A-Za-z0-9])""&amp;$B148&amp;""($|[^A-Za-z0-9])"")*(((RESUMO!$B$5=""Todas"")+(RASTREABILIDADE!$C$2:$C$2000="&amp;"RESUMO!$B$5))&gt;0)*(((RESUMO!$B$6=""Todas"")+(RASTREABILIDADE!$B$2:$B$2000=RESUMO!$B$6))&gt;0))&gt;0,1,0))"),"")</f>
        <v/>
      </c>
      <c r="G148" s="47" t="str">
        <f>IFERROR(__xludf.DUMMYFUNCTION("IF($B148="""","""",IF(SUMPRODUCT((RASTREABILIDADE!$A$2:$A$2000=""C2"")*(RASTREABILIDADE!$F$2:$F$2000=""Sim"")*REGEXMATCH(RASTREABILIDADE!$E$2:$E$2000,""(^|[^A-Za-z0-9])""&amp;$B148&amp;""($|[^A-Za-z0-9])"")*(((RESUMO!$B$5=""Todas"")+(RASTREABILIDADE!$C$2:$C$2000="&amp;"RESUMO!$B$5))&gt;0)*(((RESUMO!$B$6=""Todas"")+(RASTREABILIDADE!$B$2:$B$2000=RESUMO!$B$6))&gt;0))&gt;0,1,0))"),"")</f>
        <v/>
      </c>
      <c r="H148" s="47" t="str">
        <f>IF(OR($C148="",$D148&lt;&gt;"Sim"),"",IF(COUNTIFS(RASTREABILIDADE!$A:$A,"C0",RASTREABILIDADE!$G:$G,$C148,RASTREABILIDADE!$H:$H,"Sim",RASTREABILIDADE!$C:$C,IF(RESUMO!$B$5="Todas","&lt;&gt;",RESUMO!$B$5),RASTREABILIDADE!$B:$B,IF(RESUMO!$B$6="Todas","&lt;&gt;",RESUMO!$B$6))&gt;0,1,0))</f>
        <v/>
      </c>
      <c r="I148" s="47" t="str">
        <f>IF(OR($C148="",$D148&lt;&gt;"Sim"),"",IF(COUNTIFS(RASTREABILIDADE!$A:$A,"C1",RASTREABILIDADE!$G:$G,$C148,RASTREABILIDADE!$H:$H,"Sim",RASTREABILIDADE!$C:$C,IF(RESUMO!$B$5="Todas","&lt;&gt;",RESUMO!$B$5),RASTREABILIDADE!$B:$B,IF(RESUMO!$B$6="Todas","&lt;&gt;",RESUMO!$B$6))&gt;0,1,0))</f>
        <v/>
      </c>
      <c r="J148" s="47" t="str">
        <f>IF(OR($C148="",$D148&lt;&gt;"Sim"),"",IF(COUNTIFS(RASTREABILIDADE!$A:$A,"C2",RASTREABILIDADE!$G:$G,$C148,RASTREABILIDADE!$H:$H,"Sim",RASTREABILIDADE!$C:$C,IF(RESUMO!$B$5="Todas","&lt;&gt;",RESUMO!$B$5),RASTREABILIDADE!$B:$B,IF(RESUMO!$B$6="Todas","&lt;&gt;",RESUMO!$B$6))&gt;0,1,0))</f>
        <v/>
      </c>
    </row>
    <row r="149" ht="15.75" customHeight="1">
      <c r="A149" s="47">
        <v>149.0</v>
      </c>
      <c r="B149" s="47" t="str">
        <f>IF(GABARITO!$B150="","",IF(COUNTIF(GABARITO!$B$4:$B150,GABARITO!$B150)=1,GABARITO!$B150,""))</f>
        <v/>
      </c>
      <c r="C149" s="47" t="str">
        <f>IF(GABARITO!$G150="","",GABARITO!$G150)</f>
        <v/>
      </c>
      <c r="D149" s="47" t="str">
        <f>IF(GABARITO!$J150="","",GABARITO!$J150)</f>
        <v/>
      </c>
      <c r="E149" s="47" t="str">
        <f>IFERROR(__xludf.DUMMYFUNCTION("IF($B149="""","""",IF(SUMPRODUCT((RASTREABILIDADE!$A$2:$A$2000=""C0"")*(RASTREABILIDADE!$F$2:$F$2000=""Sim"")*REGEXMATCH(RASTREABILIDADE!$E$2:$E$2000,""(^|[^A-Za-z0-9])""&amp;$B149&amp;""($|[^A-Za-z0-9])"")*(((RESUMO!$B$5=""Todas"")+(RASTREABILIDADE!$C$2:$C$2000="&amp;"RESUMO!$B$5))&gt;0)*(((RESUMO!$B$6=""Todas"")+(RASTREABILIDADE!$B$2:$B$2000=RESUMO!$B$6))&gt;0))&gt;0,1,0))"),"")</f>
        <v/>
      </c>
      <c r="F149" s="47" t="str">
        <f>IFERROR(__xludf.DUMMYFUNCTION("IF($B149="""","""",IF(SUMPRODUCT((RASTREABILIDADE!$A$2:$A$2000=""C1"")*(RASTREABILIDADE!$F$2:$F$2000=""Sim"")*REGEXMATCH(RASTREABILIDADE!$E$2:$E$2000,""(^|[^A-Za-z0-9])""&amp;$B149&amp;""($|[^A-Za-z0-9])"")*(((RESUMO!$B$5=""Todas"")+(RASTREABILIDADE!$C$2:$C$2000="&amp;"RESUMO!$B$5))&gt;0)*(((RESUMO!$B$6=""Todas"")+(RASTREABILIDADE!$B$2:$B$2000=RESUMO!$B$6))&gt;0))&gt;0,1,0))"),"")</f>
        <v/>
      </c>
      <c r="G149" s="47" t="str">
        <f>IFERROR(__xludf.DUMMYFUNCTION("IF($B149="""","""",IF(SUMPRODUCT((RASTREABILIDADE!$A$2:$A$2000=""C2"")*(RASTREABILIDADE!$F$2:$F$2000=""Sim"")*REGEXMATCH(RASTREABILIDADE!$E$2:$E$2000,""(^|[^A-Za-z0-9])""&amp;$B149&amp;""($|[^A-Za-z0-9])"")*(((RESUMO!$B$5=""Todas"")+(RASTREABILIDADE!$C$2:$C$2000="&amp;"RESUMO!$B$5))&gt;0)*(((RESUMO!$B$6=""Todas"")+(RASTREABILIDADE!$B$2:$B$2000=RESUMO!$B$6))&gt;0))&gt;0,1,0))"),"")</f>
        <v/>
      </c>
      <c r="H149" s="47" t="str">
        <f>IF(OR($C149="",$D149&lt;&gt;"Sim"),"",IF(COUNTIFS(RASTREABILIDADE!$A:$A,"C0",RASTREABILIDADE!$G:$G,$C149,RASTREABILIDADE!$H:$H,"Sim",RASTREABILIDADE!$C:$C,IF(RESUMO!$B$5="Todas","&lt;&gt;",RESUMO!$B$5),RASTREABILIDADE!$B:$B,IF(RESUMO!$B$6="Todas","&lt;&gt;",RESUMO!$B$6))&gt;0,1,0))</f>
        <v/>
      </c>
      <c r="I149" s="47" t="str">
        <f>IF(OR($C149="",$D149&lt;&gt;"Sim"),"",IF(COUNTIFS(RASTREABILIDADE!$A:$A,"C1",RASTREABILIDADE!$G:$G,$C149,RASTREABILIDADE!$H:$H,"Sim",RASTREABILIDADE!$C:$C,IF(RESUMO!$B$5="Todas","&lt;&gt;",RESUMO!$B$5),RASTREABILIDADE!$B:$B,IF(RESUMO!$B$6="Todas","&lt;&gt;",RESUMO!$B$6))&gt;0,1,0))</f>
        <v/>
      </c>
      <c r="J149" s="47" t="str">
        <f>IF(OR($C149="",$D149&lt;&gt;"Sim"),"",IF(COUNTIFS(RASTREABILIDADE!$A:$A,"C2",RASTREABILIDADE!$G:$G,$C149,RASTREABILIDADE!$H:$H,"Sim",RASTREABILIDADE!$C:$C,IF(RESUMO!$B$5="Todas","&lt;&gt;",RESUMO!$B$5),RASTREABILIDADE!$B:$B,IF(RESUMO!$B$6="Todas","&lt;&gt;",RESUMO!$B$6))&gt;0,1,0))</f>
        <v/>
      </c>
    </row>
    <row r="150" ht="15.75" customHeight="1">
      <c r="A150" s="47">
        <v>150.0</v>
      </c>
      <c r="B150" s="47" t="str">
        <f>IF(GABARITO!$B151="","",IF(COUNTIF(GABARITO!$B$4:$B151,GABARITO!$B151)=1,GABARITO!$B151,""))</f>
        <v/>
      </c>
      <c r="C150" s="47" t="str">
        <f>IF(GABARITO!$G151="","",GABARITO!$G151)</f>
        <v/>
      </c>
      <c r="D150" s="47" t="str">
        <f>IF(GABARITO!$J151="","",GABARITO!$J151)</f>
        <v/>
      </c>
      <c r="E150" s="47" t="str">
        <f>IFERROR(__xludf.DUMMYFUNCTION("IF($B150="""","""",IF(SUMPRODUCT((RASTREABILIDADE!$A$2:$A$2000=""C0"")*(RASTREABILIDADE!$F$2:$F$2000=""Sim"")*REGEXMATCH(RASTREABILIDADE!$E$2:$E$2000,""(^|[^A-Za-z0-9])""&amp;$B150&amp;""($|[^A-Za-z0-9])"")*(((RESUMO!$B$5=""Todas"")+(RASTREABILIDADE!$C$2:$C$2000="&amp;"RESUMO!$B$5))&gt;0)*(((RESUMO!$B$6=""Todas"")+(RASTREABILIDADE!$B$2:$B$2000=RESUMO!$B$6))&gt;0))&gt;0,1,0))"),"")</f>
        <v/>
      </c>
      <c r="F150" s="47" t="str">
        <f>IFERROR(__xludf.DUMMYFUNCTION("IF($B150="""","""",IF(SUMPRODUCT((RASTREABILIDADE!$A$2:$A$2000=""C1"")*(RASTREABILIDADE!$F$2:$F$2000=""Sim"")*REGEXMATCH(RASTREABILIDADE!$E$2:$E$2000,""(^|[^A-Za-z0-9])""&amp;$B150&amp;""($|[^A-Za-z0-9])"")*(((RESUMO!$B$5=""Todas"")+(RASTREABILIDADE!$C$2:$C$2000="&amp;"RESUMO!$B$5))&gt;0)*(((RESUMO!$B$6=""Todas"")+(RASTREABILIDADE!$B$2:$B$2000=RESUMO!$B$6))&gt;0))&gt;0,1,0))"),"")</f>
        <v/>
      </c>
      <c r="G150" s="47" t="str">
        <f>IFERROR(__xludf.DUMMYFUNCTION("IF($B150="""","""",IF(SUMPRODUCT((RASTREABILIDADE!$A$2:$A$2000=""C2"")*(RASTREABILIDADE!$F$2:$F$2000=""Sim"")*REGEXMATCH(RASTREABILIDADE!$E$2:$E$2000,""(^|[^A-Za-z0-9])""&amp;$B150&amp;""($|[^A-Za-z0-9])"")*(((RESUMO!$B$5=""Todas"")+(RASTREABILIDADE!$C$2:$C$2000="&amp;"RESUMO!$B$5))&gt;0)*(((RESUMO!$B$6=""Todas"")+(RASTREABILIDADE!$B$2:$B$2000=RESUMO!$B$6))&gt;0))&gt;0,1,0))"),"")</f>
        <v/>
      </c>
      <c r="H150" s="47" t="str">
        <f>IF(OR($C150="",$D150&lt;&gt;"Sim"),"",IF(COUNTIFS(RASTREABILIDADE!$A:$A,"C0",RASTREABILIDADE!$G:$G,$C150,RASTREABILIDADE!$H:$H,"Sim",RASTREABILIDADE!$C:$C,IF(RESUMO!$B$5="Todas","&lt;&gt;",RESUMO!$B$5),RASTREABILIDADE!$B:$B,IF(RESUMO!$B$6="Todas","&lt;&gt;",RESUMO!$B$6))&gt;0,1,0))</f>
        <v/>
      </c>
      <c r="I150" s="47" t="str">
        <f>IF(OR($C150="",$D150&lt;&gt;"Sim"),"",IF(COUNTIFS(RASTREABILIDADE!$A:$A,"C1",RASTREABILIDADE!$G:$G,$C150,RASTREABILIDADE!$H:$H,"Sim",RASTREABILIDADE!$C:$C,IF(RESUMO!$B$5="Todas","&lt;&gt;",RESUMO!$B$5),RASTREABILIDADE!$B:$B,IF(RESUMO!$B$6="Todas","&lt;&gt;",RESUMO!$B$6))&gt;0,1,0))</f>
        <v/>
      </c>
      <c r="J150" s="47" t="str">
        <f>IF(OR($C150="",$D150&lt;&gt;"Sim"),"",IF(COUNTIFS(RASTREABILIDADE!$A:$A,"C2",RASTREABILIDADE!$G:$G,$C150,RASTREABILIDADE!$H:$H,"Sim",RASTREABILIDADE!$C:$C,IF(RESUMO!$B$5="Todas","&lt;&gt;",RESUMO!$B$5),RASTREABILIDADE!$B:$B,IF(RESUMO!$B$6="Todas","&lt;&gt;",RESUMO!$B$6))&gt;0,1,0))</f>
        <v/>
      </c>
    </row>
    <row r="151" ht="15.75" customHeight="1">
      <c r="A151" s="47">
        <v>151.0</v>
      </c>
      <c r="B151" s="47" t="str">
        <f>IF(GABARITO!$B152="","",IF(COUNTIF(GABARITO!$B$4:$B152,GABARITO!$B152)=1,GABARITO!$B152,""))</f>
        <v/>
      </c>
      <c r="C151" s="47" t="str">
        <f>IF(GABARITO!$G152="","",GABARITO!$G152)</f>
        <v/>
      </c>
      <c r="D151" s="47" t="str">
        <f>IF(GABARITO!$J152="","",GABARITO!$J152)</f>
        <v/>
      </c>
      <c r="E151" s="47" t="str">
        <f>IFERROR(__xludf.DUMMYFUNCTION("IF($B151="""","""",IF(SUMPRODUCT((RASTREABILIDADE!$A$2:$A$2000=""C0"")*(RASTREABILIDADE!$F$2:$F$2000=""Sim"")*REGEXMATCH(RASTREABILIDADE!$E$2:$E$2000,""(^|[^A-Za-z0-9])""&amp;$B151&amp;""($|[^A-Za-z0-9])"")*(((RESUMO!$B$5=""Todas"")+(RASTREABILIDADE!$C$2:$C$2000="&amp;"RESUMO!$B$5))&gt;0)*(((RESUMO!$B$6=""Todas"")+(RASTREABILIDADE!$B$2:$B$2000=RESUMO!$B$6))&gt;0))&gt;0,1,0))"),"")</f>
        <v/>
      </c>
      <c r="F151" s="47" t="str">
        <f>IFERROR(__xludf.DUMMYFUNCTION("IF($B151="""","""",IF(SUMPRODUCT((RASTREABILIDADE!$A$2:$A$2000=""C1"")*(RASTREABILIDADE!$F$2:$F$2000=""Sim"")*REGEXMATCH(RASTREABILIDADE!$E$2:$E$2000,""(^|[^A-Za-z0-9])""&amp;$B151&amp;""($|[^A-Za-z0-9])"")*(((RESUMO!$B$5=""Todas"")+(RASTREABILIDADE!$C$2:$C$2000="&amp;"RESUMO!$B$5))&gt;0)*(((RESUMO!$B$6=""Todas"")+(RASTREABILIDADE!$B$2:$B$2000=RESUMO!$B$6))&gt;0))&gt;0,1,0))"),"")</f>
        <v/>
      </c>
      <c r="G151" s="47" t="str">
        <f>IFERROR(__xludf.DUMMYFUNCTION("IF($B151="""","""",IF(SUMPRODUCT((RASTREABILIDADE!$A$2:$A$2000=""C2"")*(RASTREABILIDADE!$F$2:$F$2000=""Sim"")*REGEXMATCH(RASTREABILIDADE!$E$2:$E$2000,""(^|[^A-Za-z0-9])""&amp;$B151&amp;""($|[^A-Za-z0-9])"")*(((RESUMO!$B$5=""Todas"")+(RASTREABILIDADE!$C$2:$C$2000="&amp;"RESUMO!$B$5))&gt;0)*(((RESUMO!$B$6=""Todas"")+(RASTREABILIDADE!$B$2:$B$2000=RESUMO!$B$6))&gt;0))&gt;0,1,0))"),"")</f>
        <v/>
      </c>
      <c r="H151" s="47" t="str">
        <f>IF(OR($C151="",$D151&lt;&gt;"Sim"),"",IF(COUNTIFS(RASTREABILIDADE!$A:$A,"C0",RASTREABILIDADE!$G:$G,$C151,RASTREABILIDADE!$H:$H,"Sim",RASTREABILIDADE!$C:$C,IF(RESUMO!$B$5="Todas","&lt;&gt;",RESUMO!$B$5),RASTREABILIDADE!$B:$B,IF(RESUMO!$B$6="Todas","&lt;&gt;",RESUMO!$B$6))&gt;0,1,0))</f>
        <v/>
      </c>
      <c r="I151" s="47" t="str">
        <f>IF(OR($C151="",$D151&lt;&gt;"Sim"),"",IF(COUNTIFS(RASTREABILIDADE!$A:$A,"C1",RASTREABILIDADE!$G:$G,$C151,RASTREABILIDADE!$H:$H,"Sim",RASTREABILIDADE!$C:$C,IF(RESUMO!$B$5="Todas","&lt;&gt;",RESUMO!$B$5),RASTREABILIDADE!$B:$B,IF(RESUMO!$B$6="Todas","&lt;&gt;",RESUMO!$B$6))&gt;0,1,0))</f>
        <v/>
      </c>
      <c r="J151" s="47" t="str">
        <f>IF(OR($C151="",$D151&lt;&gt;"Sim"),"",IF(COUNTIFS(RASTREABILIDADE!$A:$A,"C2",RASTREABILIDADE!$G:$G,$C151,RASTREABILIDADE!$H:$H,"Sim",RASTREABILIDADE!$C:$C,IF(RESUMO!$B$5="Todas","&lt;&gt;",RESUMO!$B$5),RASTREABILIDADE!$B:$B,IF(RESUMO!$B$6="Todas","&lt;&gt;",RESUMO!$B$6))&gt;0,1,0))</f>
        <v/>
      </c>
    </row>
    <row r="152" ht="15.75" customHeight="1">
      <c r="A152" s="47">
        <v>152.0</v>
      </c>
      <c r="B152" s="47" t="str">
        <f>IF(GABARITO!$B153="","",IF(COUNTIF(GABARITO!$B$4:$B153,GABARITO!$B153)=1,GABARITO!$B153,""))</f>
        <v/>
      </c>
      <c r="C152" s="47" t="str">
        <f>IF(GABARITO!$G153="","",GABARITO!$G153)</f>
        <v/>
      </c>
      <c r="D152" s="47" t="str">
        <f>IF(GABARITO!$J153="","",GABARITO!$J153)</f>
        <v/>
      </c>
      <c r="E152" s="47" t="str">
        <f>IFERROR(__xludf.DUMMYFUNCTION("IF($B152="""","""",IF(SUMPRODUCT((RASTREABILIDADE!$A$2:$A$2000=""C0"")*(RASTREABILIDADE!$F$2:$F$2000=""Sim"")*REGEXMATCH(RASTREABILIDADE!$E$2:$E$2000,""(^|[^A-Za-z0-9])""&amp;$B152&amp;""($|[^A-Za-z0-9])"")*(((RESUMO!$B$5=""Todas"")+(RASTREABILIDADE!$C$2:$C$2000="&amp;"RESUMO!$B$5))&gt;0)*(((RESUMO!$B$6=""Todas"")+(RASTREABILIDADE!$B$2:$B$2000=RESUMO!$B$6))&gt;0))&gt;0,1,0))"),"")</f>
        <v/>
      </c>
      <c r="F152" s="47" t="str">
        <f>IFERROR(__xludf.DUMMYFUNCTION("IF($B152="""","""",IF(SUMPRODUCT((RASTREABILIDADE!$A$2:$A$2000=""C1"")*(RASTREABILIDADE!$F$2:$F$2000=""Sim"")*REGEXMATCH(RASTREABILIDADE!$E$2:$E$2000,""(^|[^A-Za-z0-9])""&amp;$B152&amp;""($|[^A-Za-z0-9])"")*(((RESUMO!$B$5=""Todas"")+(RASTREABILIDADE!$C$2:$C$2000="&amp;"RESUMO!$B$5))&gt;0)*(((RESUMO!$B$6=""Todas"")+(RASTREABILIDADE!$B$2:$B$2000=RESUMO!$B$6))&gt;0))&gt;0,1,0))"),"")</f>
        <v/>
      </c>
      <c r="G152" s="47" t="str">
        <f>IFERROR(__xludf.DUMMYFUNCTION("IF($B152="""","""",IF(SUMPRODUCT((RASTREABILIDADE!$A$2:$A$2000=""C2"")*(RASTREABILIDADE!$F$2:$F$2000=""Sim"")*REGEXMATCH(RASTREABILIDADE!$E$2:$E$2000,""(^|[^A-Za-z0-9])""&amp;$B152&amp;""($|[^A-Za-z0-9])"")*(((RESUMO!$B$5=""Todas"")+(RASTREABILIDADE!$C$2:$C$2000="&amp;"RESUMO!$B$5))&gt;0)*(((RESUMO!$B$6=""Todas"")+(RASTREABILIDADE!$B$2:$B$2000=RESUMO!$B$6))&gt;0))&gt;0,1,0))"),"")</f>
        <v/>
      </c>
      <c r="H152" s="47" t="str">
        <f>IF(OR($C152="",$D152&lt;&gt;"Sim"),"",IF(COUNTIFS(RASTREABILIDADE!$A:$A,"C0",RASTREABILIDADE!$G:$G,$C152,RASTREABILIDADE!$H:$H,"Sim",RASTREABILIDADE!$C:$C,IF(RESUMO!$B$5="Todas","&lt;&gt;",RESUMO!$B$5),RASTREABILIDADE!$B:$B,IF(RESUMO!$B$6="Todas","&lt;&gt;",RESUMO!$B$6))&gt;0,1,0))</f>
        <v/>
      </c>
      <c r="I152" s="47" t="str">
        <f>IF(OR($C152="",$D152&lt;&gt;"Sim"),"",IF(COUNTIFS(RASTREABILIDADE!$A:$A,"C1",RASTREABILIDADE!$G:$G,$C152,RASTREABILIDADE!$H:$H,"Sim",RASTREABILIDADE!$C:$C,IF(RESUMO!$B$5="Todas","&lt;&gt;",RESUMO!$B$5),RASTREABILIDADE!$B:$B,IF(RESUMO!$B$6="Todas","&lt;&gt;",RESUMO!$B$6))&gt;0,1,0))</f>
        <v/>
      </c>
      <c r="J152" s="47" t="str">
        <f>IF(OR($C152="",$D152&lt;&gt;"Sim"),"",IF(COUNTIFS(RASTREABILIDADE!$A:$A,"C2",RASTREABILIDADE!$G:$G,$C152,RASTREABILIDADE!$H:$H,"Sim",RASTREABILIDADE!$C:$C,IF(RESUMO!$B$5="Todas","&lt;&gt;",RESUMO!$B$5),RASTREABILIDADE!$B:$B,IF(RESUMO!$B$6="Todas","&lt;&gt;",RESUMO!$B$6))&gt;0,1,0))</f>
        <v/>
      </c>
    </row>
    <row r="153" ht="15.75" customHeight="1">
      <c r="A153" s="47">
        <v>153.0</v>
      </c>
      <c r="B153" s="47" t="str">
        <f>IF(GABARITO!$B154="","",IF(COUNTIF(GABARITO!$B$4:$B154,GABARITO!$B154)=1,GABARITO!$B154,""))</f>
        <v/>
      </c>
      <c r="C153" s="47" t="str">
        <f>IF(GABARITO!$G154="","",GABARITO!$G154)</f>
        <v/>
      </c>
      <c r="D153" s="47" t="str">
        <f>IF(GABARITO!$J154="","",GABARITO!$J154)</f>
        <v/>
      </c>
      <c r="E153" s="47" t="str">
        <f>IFERROR(__xludf.DUMMYFUNCTION("IF($B153="""","""",IF(SUMPRODUCT((RASTREABILIDADE!$A$2:$A$2000=""C0"")*(RASTREABILIDADE!$F$2:$F$2000=""Sim"")*REGEXMATCH(RASTREABILIDADE!$E$2:$E$2000,""(^|[^A-Za-z0-9])""&amp;$B153&amp;""($|[^A-Za-z0-9])"")*(((RESUMO!$B$5=""Todas"")+(RASTREABILIDADE!$C$2:$C$2000="&amp;"RESUMO!$B$5))&gt;0)*(((RESUMO!$B$6=""Todas"")+(RASTREABILIDADE!$B$2:$B$2000=RESUMO!$B$6))&gt;0))&gt;0,1,0))"),"")</f>
        <v/>
      </c>
      <c r="F153" s="47" t="str">
        <f>IFERROR(__xludf.DUMMYFUNCTION("IF($B153="""","""",IF(SUMPRODUCT((RASTREABILIDADE!$A$2:$A$2000=""C1"")*(RASTREABILIDADE!$F$2:$F$2000=""Sim"")*REGEXMATCH(RASTREABILIDADE!$E$2:$E$2000,""(^|[^A-Za-z0-9])""&amp;$B153&amp;""($|[^A-Za-z0-9])"")*(((RESUMO!$B$5=""Todas"")+(RASTREABILIDADE!$C$2:$C$2000="&amp;"RESUMO!$B$5))&gt;0)*(((RESUMO!$B$6=""Todas"")+(RASTREABILIDADE!$B$2:$B$2000=RESUMO!$B$6))&gt;0))&gt;0,1,0))"),"")</f>
        <v/>
      </c>
      <c r="G153" s="47" t="str">
        <f>IFERROR(__xludf.DUMMYFUNCTION("IF($B153="""","""",IF(SUMPRODUCT((RASTREABILIDADE!$A$2:$A$2000=""C2"")*(RASTREABILIDADE!$F$2:$F$2000=""Sim"")*REGEXMATCH(RASTREABILIDADE!$E$2:$E$2000,""(^|[^A-Za-z0-9])""&amp;$B153&amp;""($|[^A-Za-z0-9])"")*(((RESUMO!$B$5=""Todas"")+(RASTREABILIDADE!$C$2:$C$2000="&amp;"RESUMO!$B$5))&gt;0)*(((RESUMO!$B$6=""Todas"")+(RASTREABILIDADE!$B$2:$B$2000=RESUMO!$B$6))&gt;0))&gt;0,1,0))"),"")</f>
        <v/>
      </c>
      <c r="H153" s="47" t="str">
        <f>IF(OR($C153="",$D153&lt;&gt;"Sim"),"",IF(COUNTIFS(RASTREABILIDADE!$A:$A,"C0",RASTREABILIDADE!$G:$G,$C153,RASTREABILIDADE!$H:$H,"Sim",RASTREABILIDADE!$C:$C,IF(RESUMO!$B$5="Todas","&lt;&gt;",RESUMO!$B$5),RASTREABILIDADE!$B:$B,IF(RESUMO!$B$6="Todas","&lt;&gt;",RESUMO!$B$6))&gt;0,1,0))</f>
        <v/>
      </c>
      <c r="I153" s="47" t="str">
        <f>IF(OR($C153="",$D153&lt;&gt;"Sim"),"",IF(COUNTIFS(RASTREABILIDADE!$A:$A,"C1",RASTREABILIDADE!$G:$G,$C153,RASTREABILIDADE!$H:$H,"Sim",RASTREABILIDADE!$C:$C,IF(RESUMO!$B$5="Todas","&lt;&gt;",RESUMO!$B$5),RASTREABILIDADE!$B:$B,IF(RESUMO!$B$6="Todas","&lt;&gt;",RESUMO!$B$6))&gt;0,1,0))</f>
        <v/>
      </c>
      <c r="J153" s="47" t="str">
        <f>IF(OR($C153="",$D153&lt;&gt;"Sim"),"",IF(COUNTIFS(RASTREABILIDADE!$A:$A,"C2",RASTREABILIDADE!$G:$G,$C153,RASTREABILIDADE!$H:$H,"Sim",RASTREABILIDADE!$C:$C,IF(RESUMO!$B$5="Todas","&lt;&gt;",RESUMO!$B$5),RASTREABILIDADE!$B:$B,IF(RESUMO!$B$6="Todas","&lt;&gt;",RESUMO!$B$6))&gt;0,1,0))</f>
        <v/>
      </c>
    </row>
    <row r="154" ht="15.75" customHeight="1">
      <c r="A154" s="47">
        <v>154.0</v>
      </c>
      <c r="B154" s="47" t="str">
        <f>IF(GABARITO!$B155="","",IF(COUNTIF(GABARITO!$B$4:$B155,GABARITO!$B155)=1,GABARITO!$B155,""))</f>
        <v/>
      </c>
      <c r="C154" s="47" t="str">
        <f>IF(GABARITO!$G155="","",GABARITO!$G155)</f>
        <v/>
      </c>
      <c r="D154" s="47" t="str">
        <f>IF(GABARITO!$J155="","",GABARITO!$J155)</f>
        <v/>
      </c>
      <c r="E154" s="47" t="str">
        <f>IFERROR(__xludf.DUMMYFUNCTION("IF($B154="""","""",IF(SUMPRODUCT((RASTREABILIDADE!$A$2:$A$2000=""C0"")*(RASTREABILIDADE!$F$2:$F$2000=""Sim"")*REGEXMATCH(RASTREABILIDADE!$E$2:$E$2000,""(^|[^A-Za-z0-9])""&amp;$B154&amp;""($|[^A-Za-z0-9])"")*(((RESUMO!$B$5=""Todas"")+(RASTREABILIDADE!$C$2:$C$2000="&amp;"RESUMO!$B$5))&gt;0)*(((RESUMO!$B$6=""Todas"")+(RASTREABILIDADE!$B$2:$B$2000=RESUMO!$B$6))&gt;0))&gt;0,1,0))"),"")</f>
        <v/>
      </c>
      <c r="F154" s="47" t="str">
        <f>IFERROR(__xludf.DUMMYFUNCTION("IF($B154="""","""",IF(SUMPRODUCT((RASTREABILIDADE!$A$2:$A$2000=""C1"")*(RASTREABILIDADE!$F$2:$F$2000=""Sim"")*REGEXMATCH(RASTREABILIDADE!$E$2:$E$2000,""(^|[^A-Za-z0-9])""&amp;$B154&amp;""($|[^A-Za-z0-9])"")*(((RESUMO!$B$5=""Todas"")+(RASTREABILIDADE!$C$2:$C$2000="&amp;"RESUMO!$B$5))&gt;0)*(((RESUMO!$B$6=""Todas"")+(RASTREABILIDADE!$B$2:$B$2000=RESUMO!$B$6))&gt;0))&gt;0,1,0))"),"")</f>
        <v/>
      </c>
      <c r="G154" s="47" t="str">
        <f>IFERROR(__xludf.DUMMYFUNCTION("IF($B154="""","""",IF(SUMPRODUCT((RASTREABILIDADE!$A$2:$A$2000=""C2"")*(RASTREABILIDADE!$F$2:$F$2000=""Sim"")*REGEXMATCH(RASTREABILIDADE!$E$2:$E$2000,""(^|[^A-Za-z0-9])""&amp;$B154&amp;""($|[^A-Za-z0-9])"")*(((RESUMO!$B$5=""Todas"")+(RASTREABILIDADE!$C$2:$C$2000="&amp;"RESUMO!$B$5))&gt;0)*(((RESUMO!$B$6=""Todas"")+(RASTREABILIDADE!$B$2:$B$2000=RESUMO!$B$6))&gt;0))&gt;0,1,0))"),"")</f>
        <v/>
      </c>
      <c r="H154" s="47" t="str">
        <f>IF(OR($C154="",$D154&lt;&gt;"Sim"),"",IF(COUNTIFS(RASTREABILIDADE!$A:$A,"C0",RASTREABILIDADE!$G:$G,$C154,RASTREABILIDADE!$H:$H,"Sim",RASTREABILIDADE!$C:$C,IF(RESUMO!$B$5="Todas","&lt;&gt;",RESUMO!$B$5),RASTREABILIDADE!$B:$B,IF(RESUMO!$B$6="Todas","&lt;&gt;",RESUMO!$B$6))&gt;0,1,0))</f>
        <v/>
      </c>
      <c r="I154" s="47" t="str">
        <f>IF(OR($C154="",$D154&lt;&gt;"Sim"),"",IF(COUNTIFS(RASTREABILIDADE!$A:$A,"C1",RASTREABILIDADE!$G:$G,$C154,RASTREABILIDADE!$H:$H,"Sim",RASTREABILIDADE!$C:$C,IF(RESUMO!$B$5="Todas","&lt;&gt;",RESUMO!$B$5),RASTREABILIDADE!$B:$B,IF(RESUMO!$B$6="Todas","&lt;&gt;",RESUMO!$B$6))&gt;0,1,0))</f>
        <v/>
      </c>
      <c r="J154" s="47" t="str">
        <f>IF(OR($C154="",$D154&lt;&gt;"Sim"),"",IF(COUNTIFS(RASTREABILIDADE!$A:$A,"C2",RASTREABILIDADE!$G:$G,$C154,RASTREABILIDADE!$H:$H,"Sim",RASTREABILIDADE!$C:$C,IF(RESUMO!$B$5="Todas","&lt;&gt;",RESUMO!$B$5),RASTREABILIDADE!$B:$B,IF(RESUMO!$B$6="Todas","&lt;&gt;",RESUMO!$B$6))&gt;0,1,0))</f>
        <v/>
      </c>
    </row>
    <row r="155" ht="15.75" customHeight="1">
      <c r="A155" s="47">
        <v>155.0</v>
      </c>
      <c r="B155" s="47" t="str">
        <f>IF(GABARITO!$B156="","",IF(COUNTIF(GABARITO!$B$4:$B156,GABARITO!$B156)=1,GABARITO!$B156,""))</f>
        <v/>
      </c>
      <c r="C155" s="47" t="str">
        <f>IF(GABARITO!$G156="","",GABARITO!$G156)</f>
        <v/>
      </c>
      <c r="D155" s="47" t="str">
        <f>IF(GABARITO!$J156="","",GABARITO!$J156)</f>
        <v/>
      </c>
      <c r="E155" s="47" t="str">
        <f>IFERROR(__xludf.DUMMYFUNCTION("IF($B155="""","""",IF(SUMPRODUCT((RASTREABILIDADE!$A$2:$A$2000=""C0"")*(RASTREABILIDADE!$F$2:$F$2000=""Sim"")*REGEXMATCH(RASTREABILIDADE!$E$2:$E$2000,""(^|[^A-Za-z0-9])""&amp;$B155&amp;""($|[^A-Za-z0-9])"")*(((RESUMO!$B$5=""Todas"")+(RASTREABILIDADE!$C$2:$C$2000="&amp;"RESUMO!$B$5))&gt;0)*(((RESUMO!$B$6=""Todas"")+(RASTREABILIDADE!$B$2:$B$2000=RESUMO!$B$6))&gt;0))&gt;0,1,0))"),"")</f>
        <v/>
      </c>
      <c r="F155" s="47" t="str">
        <f>IFERROR(__xludf.DUMMYFUNCTION("IF($B155="""","""",IF(SUMPRODUCT((RASTREABILIDADE!$A$2:$A$2000=""C1"")*(RASTREABILIDADE!$F$2:$F$2000=""Sim"")*REGEXMATCH(RASTREABILIDADE!$E$2:$E$2000,""(^|[^A-Za-z0-9])""&amp;$B155&amp;""($|[^A-Za-z0-9])"")*(((RESUMO!$B$5=""Todas"")+(RASTREABILIDADE!$C$2:$C$2000="&amp;"RESUMO!$B$5))&gt;0)*(((RESUMO!$B$6=""Todas"")+(RASTREABILIDADE!$B$2:$B$2000=RESUMO!$B$6))&gt;0))&gt;0,1,0))"),"")</f>
        <v/>
      </c>
      <c r="G155" s="47" t="str">
        <f>IFERROR(__xludf.DUMMYFUNCTION("IF($B155="""","""",IF(SUMPRODUCT((RASTREABILIDADE!$A$2:$A$2000=""C2"")*(RASTREABILIDADE!$F$2:$F$2000=""Sim"")*REGEXMATCH(RASTREABILIDADE!$E$2:$E$2000,""(^|[^A-Za-z0-9])""&amp;$B155&amp;""($|[^A-Za-z0-9])"")*(((RESUMO!$B$5=""Todas"")+(RASTREABILIDADE!$C$2:$C$2000="&amp;"RESUMO!$B$5))&gt;0)*(((RESUMO!$B$6=""Todas"")+(RASTREABILIDADE!$B$2:$B$2000=RESUMO!$B$6))&gt;0))&gt;0,1,0))"),"")</f>
        <v/>
      </c>
      <c r="H155" s="47" t="str">
        <f>IF(OR($C155="",$D155&lt;&gt;"Sim"),"",IF(COUNTIFS(RASTREABILIDADE!$A:$A,"C0",RASTREABILIDADE!$G:$G,$C155,RASTREABILIDADE!$H:$H,"Sim",RASTREABILIDADE!$C:$C,IF(RESUMO!$B$5="Todas","&lt;&gt;",RESUMO!$B$5),RASTREABILIDADE!$B:$B,IF(RESUMO!$B$6="Todas","&lt;&gt;",RESUMO!$B$6))&gt;0,1,0))</f>
        <v/>
      </c>
      <c r="I155" s="47" t="str">
        <f>IF(OR($C155="",$D155&lt;&gt;"Sim"),"",IF(COUNTIFS(RASTREABILIDADE!$A:$A,"C1",RASTREABILIDADE!$G:$G,$C155,RASTREABILIDADE!$H:$H,"Sim",RASTREABILIDADE!$C:$C,IF(RESUMO!$B$5="Todas","&lt;&gt;",RESUMO!$B$5),RASTREABILIDADE!$B:$B,IF(RESUMO!$B$6="Todas","&lt;&gt;",RESUMO!$B$6))&gt;0,1,0))</f>
        <v/>
      </c>
      <c r="J155" s="47" t="str">
        <f>IF(OR($C155="",$D155&lt;&gt;"Sim"),"",IF(COUNTIFS(RASTREABILIDADE!$A:$A,"C2",RASTREABILIDADE!$G:$G,$C155,RASTREABILIDADE!$H:$H,"Sim",RASTREABILIDADE!$C:$C,IF(RESUMO!$B$5="Todas","&lt;&gt;",RESUMO!$B$5),RASTREABILIDADE!$B:$B,IF(RESUMO!$B$6="Todas","&lt;&gt;",RESUMO!$B$6))&gt;0,1,0))</f>
        <v/>
      </c>
    </row>
    <row r="156" ht="15.75" customHeight="1">
      <c r="A156" s="47">
        <v>156.0</v>
      </c>
      <c r="B156" s="47" t="str">
        <f>IF(GABARITO!$B157="","",IF(COUNTIF(GABARITO!$B$4:$B157,GABARITO!$B157)=1,GABARITO!$B157,""))</f>
        <v/>
      </c>
      <c r="C156" s="47" t="str">
        <f>IF(GABARITO!$G157="","",GABARITO!$G157)</f>
        <v/>
      </c>
      <c r="D156" s="47" t="str">
        <f>IF(GABARITO!$J157="","",GABARITO!$J157)</f>
        <v/>
      </c>
      <c r="E156" s="47" t="str">
        <f>IFERROR(__xludf.DUMMYFUNCTION("IF($B156="""","""",IF(SUMPRODUCT((RASTREABILIDADE!$A$2:$A$2000=""C0"")*(RASTREABILIDADE!$F$2:$F$2000=""Sim"")*REGEXMATCH(RASTREABILIDADE!$E$2:$E$2000,""(^|[^A-Za-z0-9])""&amp;$B156&amp;""($|[^A-Za-z0-9])"")*(((RESUMO!$B$5=""Todas"")+(RASTREABILIDADE!$C$2:$C$2000="&amp;"RESUMO!$B$5))&gt;0)*(((RESUMO!$B$6=""Todas"")+(RASTREABILIDADE!$B$2:$B$2000=RESUMO!$B$6))&gt;0))&gt;0,1,0))"),"")</f>
        <v/>
      </c>
      <c r="F156" s="47" t="str">
        <f>IFERROR(__xludf.DUMMYFUNCTION("IF($B156="""","""",IF(SUMPRODUCT((RASTREABILIDADE!$A$2:$A$2000=""C1"")*(RASTREABILIDADE!$F$2:$F$2000=""Sim"")*REGEXMATCH(RASTREABILIDADE!$E$2:$E$2000,""(^|[^A-Za-z0-9])""&amp;$B156&amp;""($|[^A-Za-z0-9])"")*(((RESUMO!$B$5=""Todas"")+(RASTREABILIDADE!$C$2:$C$2000="&amp;"RESUMO!$B$5))&gt;0)*(((RESUMO!$B$6=""Todas"")+(RASTREABILIDADE!$B$2:$B$2000=RESUMO!$B$6))&gt;0))&gt;0,1,0))"),"")</f>
        <v/>
      </c>
      <c r="G156" s="47" t="str">
        <f>IFERROR(__xludf.DUMMYFUNCTION("IF($B156="""","""",IF(SUMPRODUCT((RASTREABILIDADE!$A$2:$A$2000=""C2"")*(RASTREABILIDADE!$F$2:$F$2000=""Sim"")*REGEXMATCH(RASTREABILIDADE!$E$2:$E$2000,""(^|[^A-Za-z0-9])""&amp;$B156&amp;""($|[^A-Za-z0-9])"")*(((RESUMO!$B$5=""Todas"")+(RASTREABILIDADE!$C$2:$C$2000="&amp;"RESUMO!$B$5))&gt;0)*(((RESUMO!$B$6=""Todas"")+(RASTREABILIDADE!$B$2:$B$2000=RESUMO!$B$6))&gt;0))&gt;0,1,0))"),"")</f>
        <v/>
      </c>
      <c r="H156" s="47" t="str">
        <f>IF(OR($C156="",$D156&lt;&gt;"Sim"),"",IF(COUNTIFS(RASTREABILIDADE!$A:$A,"C0",RASTREABILIDADE!$G:$G,$C156,RASTREABILIDADE!$H:$H,"Sim",RASTREABILIDADE!$C:$C,IF(RESUMO!$B$5="Todas","&lt;&gt;",RESUMO!$B$5),RASTREABILIDADE!$B:$B,IF(RESUMO!$B$6="Todas","&lt;&gt;",RESUMO!$B$6))&gt;0,1,0))</f>
        <v/>
      </c>
      <c r="I156" s="47" t="str">
        <f>IF(OR($C156="",$D156&lt;&gt;"Sim"),"",IF(COUNTIFS(RASTREABILIDADE!$A:$A,"C1",RASTREABILIDADE!$G:$G,$C156,RASTREABILIDADE!$H:$H,"Sim",RASTREABILIDADE!$C:$C,IF(RESUMO!$B$5="Todas","&lt;&gt;",RESUMO!$B$5),RASTREABILIDADE!$B:$B,IF(RESUMO!$B$6="Todas","&lt;&gt;",RESUMO!$B$6))&gt;0,1,0))</f>
        <v/>
      </c>
      <c r="J156" s="47" t="str">
        <f>IF(OR($C156="",$D156&lt;&gt;"Sim"),"",IF(COUNTIFS(RASTREABILIDADE!$A:$A,"C2",RASTREABILIDADE!$G:$G,$C156,RASTREABILIDADE!$H:$H,"Sim",RASTREABILIDADE!$C:$C,IF(RESUMO!$B$5="Todas","&lt;&gt;",RESUMO!$B$5),RASTREABILIDADE!$B:$B,IF(RESUMO!$B$6="Todas","&lt;&gt;",RESUMO!$B$6))&gt;0,1,0))</f>
        <v/>
      </c>
    </row>
    <row r="157" ht="15.75" customHeight="1">
      <c r="A157" s="47">
        <v>157.0</v>
      </c>
      <c r="B157" s="47" t="str">
        <f>IF(GABARITO!$B158="","",IF(COUNTIF(GABARITO!$B$4:$B158,GABARITO!$B158)=1,GABARITO!$B158,""))</f>
        <v/>
      </c>
      <c r="C157" s="47" t="str">
        <f>IF(GABARITO!$G158="","",GABARITO!$G158)</f>
        <v/>
      </c>
      <c r="D157" s="47" t="str">
        <f>IF(GABARITO!$J158="","",GABARITO!$J158)</f>
        <v/>
      </c>
      <c r="E157" s="47" t="str">
        <f>IFERROR(__xludf.DUMMYFUNCTION("IF($B157="""","""",IF(SUMPRODUCT((RASTREABILIDADE!$A$2:$A$2000=""C0"")*(RASTREABILIDADE!$F$2:$F$2000=""Sim"")*REGEXMATCH(RASTREABILIDADE!$E$2:$E$2000,""(^|[^A-Za-z0-9])""&amp;$B157&amp;""($|[^A-Za-z0-9])"")*(((RESUMO!$B$5=""Todas"")+(RASTREABILIDADE!$C$2:$C$2000="&amp;"RESUMO!$B$5))&gt;0)*(((RESUMO!$B$6=""Todas"")+(RASTREABILIDADE!$B$2:$B$2000=RESUMO!$B$6))&gt;0))&gt;0,1,0))"),"")</f>
        <v/>
      </c>
      <c r="F157" s="47" t="str">
        <f>IFERROR(__xludf.DUMMYFUNCTION("IF($B157="""","""",IF(SUMPRODUCT((RASTREABILIDADE!$A$2:$A$2000=""C1"")*(RASTREABILIDADE!$F$2:$F$2000=""Sim"")*REGEXMATCH(RASTREABILIDADE!$E$2:$E$2000,""(^|[^A-Za-z0-9])""&amp;$B157&amp;""($|[^A-Za-z0-9])"")*(((RESUMO!$B$5=""Todas"")+(RASTREABILIDADE!$C$2:$C$2000="&amp;"RESUMO!$B$5))&gt;0)*(((RESUMO!$B$6=""Todas"")+(RASTREABILIDADE!$B$2:$B$2000=RESUMO!$B$6))&gt;0))&gt;0,1,0))"),"")</f>
        <v/>
      </c>
      <c r="G157" s="47" t="str">
        <f>IFERROR(__xludf.DUMMYFUNCTION("IF($B157="""","""",IF(SUMPRODUCT((RASTREABILIDADE!$A$2:$A$2000=""C2"")*(RASTREABILIDADE!$F$2:$F$2000=""Sim"")*REGEXMATCH(RASTREABILIDADE!$E$2:$E$2000,""(^|[^A-Za-z0-9])""&amp;$B157&amp;""($|[^A-Za-z0-9])"")*(((RESUMO!$B$5=""Todas"")+(RASTREABILIDADE!$C$2:$C$2000="&amp;"RESUMO!$B$5))&gt;0)*(((RESUMO!$B$6=""Todas"")+(RASTREABILIDADE!$B$2:$B$2000=RESUMO!$B$6))&gt;0))&gt;0,1,0))"),"")</f>
        <v/>
      </c>
      <c r="H157" s="47" t="str">
        <f>IF(OR($C157="",$D157&lt;&gt;"Sim"),"",IF(COUNTIFS(RASTREABILIDADE!$A:$A,"C0",RASTREABILIDADE!$G:$G,$C157,RASTREABILIDADE!$H:$H,"Sim",RASTREABILIDADE!$C:$C,IF(RESUMO!$B$5="Todas","&lt;&gt;",RESUMO!$B$5),RASTREABILIDADE!$B:$B,IF(RESUMO!$B$6="Todas","&lt;&gt;",RESUMO!$B$6))&gt;0,1,0))</f>
        <v/>
      </c>
      <c r="I157" s="47" t="str">
        <f>IF(OR($C157="",$D157&lt;&gt;"Sim"),"",IF(COUNTIFS(RASTREABILIDADE!$A:$A,"C1",RASTREABILIDADE!$G:$G,$C157,RASTREABILIDADE!$H:$H,"Sim",RASTREABILIDADE!$C:$C,IF(RESUMO!$B$5="Todas","&lt;&gt;",RESUMO!$B$5),RASTREABILIDADE!$B:$B,IF(RESUMO!$B$6="Todas","&lt;&gt;",RESUMO!$B$6))&gt;0,1,0))</f>
        <v/>
      </c>
      <c r="J157" s="47" t="str">
        <f>IF(OR($C157="",$D157&lt;&gt;"Sim"),"",IF(COUNTIFS(RASTREABILIDADE!$A:$A,"C2",RASTREABILIDADE!$G:$G,$C157,RASTREABILIDADE!$H:$H,"Sim",RASTREABILIDADE!$C:$C,IF(RESUMO!$B$5="Todas","&lt;&gt;",RESUMO!$B$5),RASTREABILIDADE!$B:$B,IF(RESUMO!$B$6="Todas","&lt;&gt;",RESUMO!$B$6))&gt;0,1,0))</f>
        <v/>
      </c>
    </row>
    <row r="158" ht="15.75" customHeight="1">
      <c r="A158" s="47">
        <v>158.0</v>
      </c>
      <c r="B158" s="47" t="str">
        <f>IF(GABARITO!$B159="","",IF(COUNTIF(GABARITO!$B$4:$B159,GABARITO!$B159)=1,GABARITO!$B159,""))</f>
        <v/>
      </c>
      <c r="C158" s="47" t="str">
        <f>IF(GABARITO!$G159="","",GABARITO!$G159)</f>
        <v/>
      </c>
      <c r="D158" s="47" t="str">
        <f>IF(GABARITO!$J159="","",GABARITO!$J159)</f>
        <v/>
      </c>
      <c r="E158" s="47" t="str">
        <f>IFERROR(__xludf.DUMMYFUNCTION("IF($B158="""","""",IF(SUMPRODUCT((RASTREABILIDADE!$A$2:$A$2000=""C0"")*(RASTREABILIDADE!$F$2:$F$2000=""Sim"")*REGEXMATCH(RASTREABILIDADE!$E$2:$E$2000,""(^|[^A-Za-z0-9])""&amp;$B158&amp;""($|[^A-Za-z0-9])"")*(((RESUMO!$B$5=""Todas"")+(RASTREABILIDADE!$C$2:$C$2000="&amp;"RESUMO!$B$5))&gt;0)*(((RESUMO!$B$6=""Todas"")+(RASTREABILIDADE!$B$2:$B$2000=RESUMO!$B$6))&gt;0))&gt;0,1,0))"),"")</f>
        <v/>
      </c>
      <c r="F158" s="47" t="str">
        <f>IFERROR(__xludf.DUMMYFUNCTION("IF($B158="""","""",IF(SUMPRODUCT((RASTREABILIDADE!$A$2:$A$2000=""C1"")*(RASTREABILIDADE!$F$2:$F$2000=""Sim"")*REGEXMATCH(RASTREABILIDADE!$E$2:$E$2000,""(^|[^A-Za-z0-9])""&amp;$B158&amp;""($|[^A-Za-z0-9])"")*(((RESUMO!$B$5=""Todas"")+(RASTREABILIDADE!$C$2:$C$2000="&amp;"RESUMO!$B$5))&gt;0)*(((RESUMO!$B$6=""Todas"")+(RASTREABILIDADE!$B$2:$B$2000=RESUMO!$B$6))&gt;0))&gt;0,1,0))"),"")</f>
        <v/>
      </c>
      <c r="G158" s="47" t="str">
        <f>IFERROR(__xludf.DUMMYFUNCTION("IF($B158="""","""",IF(SUMPRODUCT((RASTREABILIDADE!$A$2:$A$2000=""C2"")*(RASTREABILIDADE!$F$2:$F$2000=""Sim"")*REGEXMATCH(RASTREABILIDADE!$E$2:$E$2000,""(^|[^A-Za-z0-9])""&amp;$B158&amp;""($|[^A-Za-z0-9])"")*(((RESUMO!$B$5=""Todas"")+(RASTREABILIDADE!$C$2:$C$2000="&amp;"RESUMO!$B$5))&gt;0)*(((RESUMO!$B$6=""Todas"")+(RASTREABILIDADE!$B$2:$B$2000=RESUMO!$B$6))&gt;0))&gt;0,1,0))"),"")</f>
        <v/>
      </c>
      <c r="H158" s="47" t="str">
        <f>IF(OR($C158="",$D158&lt;&gt;"Sim"),"",IF(COUNTIFS(RASTREABILIDADE!$A:$A,"C0",RASTREABILIDADE!$G:$G,$C158,RASTREABILIDADE!$H:$H,"Sim",RASTREABILIDADE!$C:$C,IF(RESUMO!$B$5="Todas","&lt;&gt;",RESUMO!$B$5),RASTREABILIDADE!$B:$B,IF(RESUMO!$B$6="Todas","&lt;&gt;",RESUMO!$B$6))&gt;0,1,0))</f>
        <v/>
      </c>
      <c r="I158" s="47" t="str">
        <f>IF(OR($C158="",$D158&lt;&gt;"Sim"),"",IF(COUNTIFS(RASTREABILIDADE!$A:$A,"C1",RASTREABILIDADE!$G:$G,$C158,RASTREABILIDADE!$H:$H,"Sim",RASTREABILIDADE!$C:$C,IF(RESUMO!$B$5="Todas","&lt;&gt;",RESUMO!$B$5),RASTREABILIDADE!$B:$B,IF(RESUMO!$B$6="Todas","&lt;&gt;",RESUMO!$B$6))&gt;0,1,0))</f>
        <v/>
      </c>
      <c r="J158" s="47" t="str">
        <f>IF(OR($C158="",$D158&lt;&gt;"Sim"),"",IF(COUNTIFS(RASTREABILIDADE!$A:$A,"C2",RASTREABILIDADE!$G:$G,$C158,RASTREABILIDADE!$H:$H,"Sim",RASTREABILIDADE!$C:$C,IF(RESUMO!$B$5="Todas","&lt;&gt;",RESUMO!$B$5),RASTREABILIDADE!$B:$B,IF(RESUMO!$B$6="Todas","&lt;&gt;",RESUMO!$B$6))&gt;0,1,0))</f>
        <v/>
      </c>
    </row>
    <row r="159" ht="15.75" customHeight="1">
      <c r="A159" s="47">
        <v>159.0</v>
      </c>
      <c r="B159" s="47" t="str">
        <f>IF(GABARITO!$B160="","",IF(COUNTIF(GABARITO!$B$4:$B160,GABARITO!$B160)=1,GABARITO!$B160,""))</f>
        <v/>
      </c>
      <c r="C159" s="47" t="str">
        <f>IF(GABARITO!$G160="","",GABARITO!$G160)</f>
        <v/>
      </c>
      <c r="D159" s="47" t="str">
        <f>IF(GABARITO!$J160="","",GABARITO!$J160)</f>
        <v/>
      </c>
      <c r="E159" s="47" t="str">
        <f>IFERROR(__xludf.DUMMYFUNCTION("IF($B159="""","""",IF(SUMPRODUCT((RASTREABILIDADE!$A$2:$A$2000=""C0"")*(RASTREABILIDADE!$F$2:$F$2000=""Sim"")*REGEXMATCH(RASTREABILIDADE!$E$2:$E$2000,""(^|[^A-Za-z0-9])""&amp;$B159&amp;""($|[^A-Za-z0-9])"")*(((RESUMO!$B$5=""Todas"")+(RASTREABILIDADE!$C$2:$C$2000="&amp;"RESUMO!$B$5))&gt;0)*(((RESUMO!$B$6=""Todas"")+(RASTREABILIDADE!$B$2:$B$2000=RESUMO!$B$6))&gt;0))&gt;0,1,0))"),"")</f>
        <v/>
      </c>
      <c r="F159" s="47" t="str">
        <f>IFERROR(__xludf.DUMMYFUNCTION("IF($B159="""","""",IF(SUMPRODUCT((RASTREABILIDADE!$A$2:$A$2000=""C1"")*(RASTREABILIDADE!$F$2:$F$2000=""Sim"")*REGEXMATCH(RASTREABILIDADE!$E$2:$E$2000,""(^|[^A-Za-z0-9])""&amp;$B159&amp;""($|[^A-Za-z0-9])"")*(((RESUMO!$B$5=""Todas"")+(RASTREABILIDADE!$C$2:$C$2000="&amp;"RESUMO!$B$5))&gt;0)*(((RESUMO!$B$6=""Todas"")+(RASTREABILIDADE!$B$2:$B$2000=RESUMO!$B$6))&gt;0))&gt;0,1,0))"),"")</f>
        <v/>
      </c>
      <c r="G159" s="47" t="str">
        <f>IFERROR(__xludf.DUMMYFUNCTION("IF($B159="""","""",IF(SUMPRODUCT((RASTREABILIDADE!$A$2:$A$2000=""C2"")*(RASTREABILIDADE!$F$2:$F$2000=""Sim"")*REGEXMATCH(RASTREABILIDADE!$E$2:$E$2000,""(^|[^A-Za-z0-9])""&amp;$B159&amp;""($|[^A-Za-z0-9])"")*(((RESUMO!$B$5=""Todas"")+(RASTREABILIDADE!$C$2:$C$2000="&amp;"RESUMO!$B$5))&gt;0)*(((RESUMO!$B$6=""Todas"")+(RASTREABILIDADE!$B$2:$B$2000=RESUMO!$B$6))&gt;0))&gt;0,1,0))"),"")</f>
        <v/>
      </c>
      <c r="H159" s="47" t="str">
        <f>IF(OR($C159="",$D159&lt;&gt;"Sim"),"",IF(COUNTIFS(RASTREABILIDADE!$A:$A,"C0",RASTREABILIDADE!$G:$G,$C159,RASTREABILIDADE!$H:$H,"Sim",RASTREABILIDADE!$C:$C,IF(RESUMO!$B$5="Todas","&lt;&gt;",RESUMO!$B$5),RASTREABILIDADE!$B:$B,IF(RESUMO!$B$6="Todas","&lt;&gt;",RESUMO!$B$6))&gt;0,1,0))</f>
        <v/>
      </c>
      <c r="I159" s="47" t="str">
        <f>IF(OR($C159="",$D159&lt;&gt;"Sim"),"",IF(COUNTIFS(RASTREABILIDADE!$A:$A,"C1",RASTREABILIDADE!$G:$G,$C159,RASTREABILIDADE!$H:$H,"Sim",RASTREABILIDADE!$C:$C,IF(RESUMO!$B$5="Todas","&lt;&gt;",RESUMO!$B$5),RASTREABILIDADE!$B:$B,IF(RESUMO!$B$6="Todas","&lt;&gt;",RESUMO!$B$6))&gt;0,1,0))</f>
        <v/>
      </c>
      <c r="J159" s="47" t="str">
        <f>IF(OR($C159="",$D159&lt;&gt;"Sim"),"",IF(COUNTIFS(RASTREABILIDADE!$A:$A,"C2",RASTREABILIDADE!$G:$G,$C159,RASTREABILIDADE!$H:$H,"Sim",RASTREABILIDADE!$C:$C,IF(RESUMO!$B$5="Todas","&lt;&gt;",RESUMO!$B$5),RASTREABILIDADE!$B:$B,IF(RESUMO!$B$6="Todas","&lt;&gt;",RESUMO!$B$6))&gt;0,1,0))</f>
        <v/>
      </c>
    </row>
    <row r="160" ht="15.75" customHeight="1">
      <c r="A160" s="47">
        <v>160.0</v>
      </c>
      <c r="B160" s="47" t="str">
        <f>IF(GABARITO!$B161="","",IF(COUNTIF(GABARITO!$B$4:$B161,GABARITO!$B161)=1,GABARITO!$B161,""))</f>
        <v/>
      </c>
      <c r="C160" s="47" t="str">
        <f>IF(GABARITO!$G161="","",GABARITO!$G161)</f>
        <v/>
      </c>
      <c r="D160" s="47" t="str">
        <f>IF(GABARITO!$J161="","",GABARITO!$J161)</f>
        <v/>
      </c>
      <c r="E160" s="47" t="str">
        <f>IFERROR(__xludf.DUMMYFUNCTION("IF($B160="""","""",IF(SUMPRODUCT((RASTREABILIDADE!$A$2:$A$2000=""C0"")*(RASTREABILIDADE!$F$2:$F$2000=""Sim"")*REGEXMATCH(RASTREABILIDADE!$E$2:$E$2000,""(^|[^A-Za-z0-9])""&amp;$B160&amp;""($|[^A-Za-z0-9])"")*(((RESUMO!$B$5=""Todas"")+(RASTREABILIDADE!$C$2:$C$2000="&amp;"RESUMO!$B$5))&gt;0)*(((RESUMO!$B$6=""Todas"")+(RASTREABILIDADE!$B$2:$B$2000=RESUMO!$B$6))&gt;0))&gt;0,1,0))"),"")</f>
        <v/>
      </c>
      <c r="F160" s="47" t="str">
        <f>IFERROR(__xludf.DUMMYFUNCTION("IF($B160="""","""",IF(SUMPRODUCT((RASTREABILIDADE!$A$2:$A$2000=""C1"")*(RASTREABILIDADE!$F$2:$F$2000=""Sim"")*REGEXMATCH(RASTREABILIDADE!$E$2:$E$2000,""(^|[^A-Za-z0-9])""&amp;$B160&amp;""($|[^A-Za-z0-9])"")*(((RESUMO!$B$5=""Todas"")+(RASTREABILIDADE!$C$2:$C$2000="&amp;"RESUMO!$B$5))&gt;0)*(((RESUMO!$B$6=""Todas"")+(RASTREABILIDADE!$B$2:$B$2000=RESUMO!$B$6))&gt;0))&gt;0,1,0))"),"")</f>
        <v/>
      </c>
      <c r="G160" s="47" t="str">
        <f>IFERROR(__xludf.DUMMYFUNCTION("IF($B160="""","""",IF(SUMPRODUCT((RASTREABILIDADE!$A$2:$A$2000=""C2"")*(RASTREABILIDADE!$F$2:$F$2000=""Sim"")*REGEXMATCH(RASTREABILIDADE!$E$2:$E$2000,""(^|[^A-Za-z0-9])""&amp;$B160&amp;""($|[^A-Za-z0-9])"")*(((RESUMO!$B$5=""Todas"")+(RASTREABILIDADE!$C$2:$C$2000="&amp;"RESUMO!$B$5))&gt;0)*(((RESUMO!$B$6=""Todas"")+(RASTREABILIDADE!$B$2:$B$2000=RESUMO!$B$6))&gt;0))&gt;0,1,0))"),"")</f>
        <v/>
      </c>
      <c r="H160" s="47" t="str">
        <f>IF(OR($C160="",$D160&lt;&gt;"Sim"),"",IF(COUNTIFS(RASTREABILIDADE!$A:$A,"C0",RASTREABILIDADE!$G:$G,$C160,RASTREABILIDADE!$H:$H,"Sim",RASTREABILIDADE!$C:$C,IF(RESUMO!$B$5="Todas","&lt;&gt;",RESUMO!$B$5),RASTREABILIDADE!$B:$B,IF(RESUMO!$B$6="Todas","&lt;&gt;",RESUMO!$B$6))&gt;0,1,0))</f>
        <v/>
      </c>
      <c r="I160" s="47" t="str">
        <f>IF(OR($C160="",$D160&lt;&gt;"Sim"),"",IF(COUNTIFS(RASTREABILIDADE!$A:$A,"C1",RASTREABILIDADE!$G:$G,$C160,RASTREABILIDADE!$H:$H,"Sim",RASTREABILIDADE!$C:$C,IF(RESUMO!$B$5="Todas","&lt;&gt;",RESUMO!$B$5),RASTREABILIDADE!$B:$B,IF(RESUMO!$B$6="Todas","&lt;&gt;",RESUMO!$B$6))&gt;0,1,0))</f>
        <v/>
      </c>
      <c r="J160" s="47" t="str">
        <f>IF(OR($C160="",$D160&lt;&gt;"Sim"),"",IF(COUNTIFS(RASTREABILIDADE!$A:$A,"C2",RASTREABILIDADE!$G:$G,$C160,RASTREABILIDADE!$H:$H,"Sim",RASTREABILIDADE!$C:$C,IF(RESUMO!$B$5="Todas","&lt;&gt;",RESUMO!$B$5),RASTREABILIDADE!$B:$B,IF(RESUMO!$B$6="Todas","&lt;&gt;",RESUMO!$B$6))&gt;0,1,0))</f>
        <v/>
      </c>
    </row>
    <row r="161" ht="15.75" customHeight="1">
      <c r="A161" s="47">
        <v>161.0</v>
      </c>
      <c r="B161" s="47" t="str">
        <f>IF(GABARITO!$B162="","",IF(COUNTIF(GABARITO!$B$4:$B162,GABARITO!$B162)=1,GABARITO!$B162,""))</f>
        <v/>
      </c>
      <c r="C161" s="47" t="str">
        <f>IF(GABARITO!$G162="","",GABARITO!$G162)</f>
        <v/>
      </c>
      <c r="D161" s="47" t="str">
        <f>IF(GABARITO!$J162="","",GABARITO!$J162)</f>
        <v/>
      </c>
      <c r="E161" s="47" t="str">
        <f>IFERROR(__xludf.DUMMYFUNCTION("IF($B161="""","""",IF(SUMPRODUCT((RASTREABILIDADE!$A$2:$A$2000=""C0"")*(RASTREABILIDADE!$F$2:$F$2000=""Sim"")*REGEXMATCH(RASTREABILIDADE!$E$2:$E$2000,""(^|[^A-Za-z0-9])""&amp;$B161&amp;""($|[^A-Za-z0-9])"")*(((RESUMO!$B$5=""Todas"")+(RASTREABILIDADE!$C$2:$C$2000="&amp;"RESUMO!$B$5))&gt;0)*(((RESUMO!$B$6=""Todas"")+(RASTREABILIDADE!$B$2:$B$2000=RESUMO!$B$6))&gt;0))&gt;0,1,0))"),"")</f>
        <v/>
      </c>
      <c r="F161" s="47" t="str">
        <f>IFERROR(__xludf.DUMMYFUNCTION("IF($B161="""","""",IF(SUMPRODUCT((RASTREABILIDADE!$A$2:$A$2000=""C1"")*(RASTREABILIDADE!$F$2:$F$2000=""Sim"")*REGEXMATCH(RASTREABILIDADE!$E$2:$E$2000,""(^|[^A-Za-z0-9])""&amp;$B161&amp;""($|[^A-Za-z0-9])"")*(((RESUMO!$B$5=""Todas"")+(RASTREABILIDADE!$C$2:$C$2000="&amp;"RESUMO!$B$5))&gt;0)*(((RESUMO!$B$6=""Todas"")+(RASTREABILIDADE!$B$2:$B$2000=RESUMO!$B$6))&gt;0))&gt;0,1,0))"),"")</f>
        <v/>
      </c>
      <c r="G161" s="47" t="str">
        <f>IFERROR(__xludf.DUMMYFUNCTION("IF($B161="""","""",IF(SUMPRODUCT((RASTREABILIDADE!$A$2:$A$2000=""C2"")*(RASTREABILIDADE!$F$2:$F$2000=""Sim"")*REGEXMATCH(RASTREABILIDADE!$E$2:$E$2000,""(^|[^A-Za-z0-9])""&amp;$B161&amp;""($|[^A-Za-z0-9])"")*(((RESUMO!$B$5=""Todas"")+(RASTREABILIDADE!$C$2:$C$2000="&amp;"RESUMO!$B$5))&gt;0)*(((RESUMO!$B$6=""Todas"")+(RASTREABILIDADE!$B$2:$B$2000=RESUMO!$B$6))&gt;0))&gt;0,1,0))"),"")</f>
        <v/>
      </c>
      <c r="H161" s="47" t="str">
        <f>IF(OR($C161="",$D161&lt;&gt;"Sim"),"",IF(COUNTIFS(RASTREABILIDADE!$A:$A,"C0",RASTREABILIDADE!$G:$G,$C161,RASTREABILIDADE!$H:$H,"Sim",RASTREABILIDADE!$C:$C,IF(RESUMO!$B$5="Todas","&lt;&gt;",RESUMO!$B$5),RASTREABILIDADE!$B:$B,IF(RESUMO!$B$6="Todas","&lt;&gt;",RESUMO!$B$6))&gt;0,1,0))</f>
        <v/>
      </c>
      <c r="I161" s="47" t="str">
        <f>IF(OR($C161="",$D161&lt;&gt;"Sim"),"",IF(COUNTIFS(RASTREABILIDADE!$A:$A,"C1",RASTREABILIDADE!$G:$G,$C161,RASTREABILIDADE!$H:$H,"Sim",RASTREABILIDADE!$C:$C,IF(RESUMO!$B$5="Todas","&lt;&gt;",RESUMO!$B$5),RASTREABILIDADE!$B:$B,IF(RESUMO!$B$6="Todas","&lt;&gt;",RESUMO!$B$6))&gt;0,1,0))</f>
        <v/>
      </c>
      <c r="J161" s="47" t="str">
        <f>IF(OR($C161="",$D161&lt;&gt;"Sim"),"",IF(COUNTIFS(RASTREABILIDADE!$A:$A,"C2",RASTREABILIDADE!$G:$G,$C161,RASTREABILIDADE!$H:$H,"Sim",RASTREABILIDADE!$C:$C,IF(RESUMO!$B$5="Todas","&lt;&gt;",RESUMO!$B$5),RASTREABILIDADE!$B:$B,IF(RESUMO!$B$6="Todas","&lt;&gt;",RESUMO!$B$6))&gt;0,1,0))</f>
        <v/>
      </c>
    </row>
    <row r="162" ht="15.75" customHeight="1">
      <c r="A162" s="47">
        <v>162.0</v>
      </c>
      <c r="B162" s="47" t="str">
        <f>IF(GABARITO!$B163="","",IF(COUNTIF(GABARITO!$B$4:$B163,GABARITO!$B163)=1,GABARITO!$B163,""))</f>
        <v/>
      </c>
      <c r="C162" s="47" t="str">
        <f>IF(GABARITO!$G163="","",GABARITO!$G163)</f>
        <v/>
      </c>
      <c r="D162" s="47" t="str">
        <f>IF(GABARITO!$J163="","",GABARITO!$J163)</f>
        <v/>
      </c>
      <c r="E162" s="47" t="str">
        <f>IFERROR(__xludf.DUMMYFUNCTION("IF($B162="""","""",IF(SUMPRODUCT((RASTREABILIDADE!$A$2:$A$2000=""C0"")*(RASTREABILIDADE!$F$2:$F$2000=""Sim"")*REGEXMATCH(RASTREABILIDADE!$E$2:$E$2000,""(^|[^A-Za-z0-9])""&amp;$B162&amp;""($|[^A-Za-z0-9])"")*(((RESUMO!$B$5=""Todas"")+(RASTREABILIDADE!$C$2:$C$2000="&amp;"RESUMO!$B$5))&gt;0)*(((RESUMO!$B$6=""Todas"")+(RASTREABILIDADE!$B$2:$B$2000=RESUMO!$B$6))&gt;0))&gt;0,1,0))"),"")</f>
        <v/>
      </c>
      <c r="F162" s="47" t="str">
        <f>IFERROR(__xludf.DUMMYFUNCTION("IF($B162="""","""",IF(SUMPRODUCT((RASTREABILIDADE!$A$2:$A$2000=""C1"")*(RASTREABILIDADE!$F$2:$F$2000=""Sim"")*REGEXMATCH(RASTREABILIDADE!$E$2:$E$2000,""(^|[^A-Za-z0-9])""&amp;$B162&amp;""($|[^A-Za-z0-9])"")*(((RESUMO!$B$5=""Todas"")+(RASTREABILIDADE!$C$2:$C$2000="&amp;"RESUMO!$B$5))&gt;0)*(((RESUMO!$B$6=""Todas"")+(RASTREABILIDADE!$B$2:$B$2000=RESUMO!$B$6))&gt;0))&gt;0,1,0))"),"")</f>
        <v/>
      </c>
      <c r="G162" s="47" t="str">
        <f>IFERROR(__xludf.DUMMYFUNCTION("IF($B162="""","""",IF(SUMPRODUCT((RASTREABILIDADE!$A$2:$A$2000=""C2"")*(RASTREABILIDADE!$F$2:$F$2000=""Sim"")*REGEXMATCH(RASTREABILIDADE!$E$2:$E$2000,""(^|[^A-Za-z0-9])""&amp;$B162&amp;""($|[^A-Za-z0-9])"")*(((RESUMO!$B$5=""Todas"")+(RASTREABILIDADE!$C$2:$C$2000="&amp;"RESUMO!$B$5))&gt;0)*(((RESUMO!$B$6=""Todas"")+(RASTREABILIDADE!$B$2:$B$2000=RESUMO!$B$6))&gt;0))&gt;0,1,0))"),"")</f>
        <v/>
      </c>
      <c r="H162" s="47" t="str">
        <f>IF(OR($C162="",$D162&lt;&gt;"Sim"),"",IF(COUNTIFS(RASTREABILIDADE!$A:$A,"C0",RASTREABILIDADE!$G:$G,$C162,RASTREABILIDADE!$H:$H,"Sim",RASTREABILIDADE!$C:$C,IF(RESUMO!$B$5="Todas","&lt;&gt;",RESUMO!$B$5),RASTREABILIDADE!$B:$B,IF(RESUMO!$B$6="Todas","&lt;&gt;",RESUMO!$B$6))&gt;0,1,0))</f>
        <v/>
      </c>
      <c r="I162" s="47" t="str">
        <f>IF(OR($C162="",$D162&lt;&gt;"Sim"),"",IF(COUNTIFS(RASTREABILIDADE!$A:$A,"C1",RASTREABILIDADE!$G:$G,$C162,RASTREABILIDADE!$H:$H,"Sim",RASTREABILIDADE!$C:$C,IF(RESUMO!$B$5="Todas","&lt;&gt;",RESUMO!$B$5),RASTREABILIDADE!$B:$B,IF(RESUMO!$B$6="Todas","&lt;&gt;",RESUMO!$B$6))&gt;0,1,0))</f>
        <v/>
      </c>
      <c r="J162" s="47" t="str">
        <f>IF(OR($C162="",$D162&lt;&gt;"Sim"),"",IF(COUNTIFS(RASTREABILIDADE!$A:$A,"C2",RASTREABILIDADE!$G:$G,$C162,RASTREABILIDADE!$H:$H,"Sim",RASTREABILIDADE!$C:$C,IF(RESUMO!$B$5="Todas","&lt;&gt;",RESUMO!$B$5),RASTREABILIDADE!$B:$B,IF(RESUMO!$B$6="Todas","&lt;&gt;",RESUMO!$B$6))&gt;0,1,0))</f>
        <v/>
      </c>
    </row>
    <row r="163" ht="15.75" customHeight="1">
      <c r="A163" s="47">
        <v>163.0</v>
      </c>
      <c r="B163" s="47" t="str">
        <f>IF(GABARITO!$B164="","",IF(COUNTIF(GABARITO!$B$4:$B164,GABARITO!$B164)=1,GABARITO!$B164,""))</f>
        <v/>
      </c>
      <c r="C163" s="47" t="str">
        <f>IF(GABARITO!$G164="","",GABARITO!$G164)</f>
        <v/>
      </c>
      <c r="D163" s="47" t="str">
        <f>IF(GABARITO!$J164="","",GABARITO!$J164)</f>
        <v/>
      </c>
      <c r="E163" s="47" t="str">
        <f>IFERROR(__xludf.DUMMYFUNCTION("IF($B163="""","""",IF(SUMPRODUCT((RASTREABILIDADE!$A$2:$A$2000=""C0"")*(RASTREABILIDADE!$F$2:$F$2000=""Sim"")*REGEXMATCH(RASTREABILIDADE!$E$2:$E$2000,""(^|[^A-Za-z0-9])""&amp;$B163&amp;""($|[^A-Za-z0-9])"")*(((RESUMO!$B$5=""Todas"")+(RASTREABILIDADE!$C$2:$C$2000="&amp;"RESUMO!$B$5))&gt;0)*(((RESUMO!$B$6=""Todas"")+(RASTREABILIDADE!$B$2:$B$2000=RESUMO!$B$6))&gt;0))&gt;0,1,0))"),"")</f>
        <v/>
      </c>
      <c r="F163" s="47" t="str">
        <f>IFERROR(__xludf.DUMMYFUNCTION("IF($B163="""","""",IF(SUMPRODUCT((RASTREABILIDADE!$A$2:$A$2000=""C1"")*(RASTREABILIDADE!$F$2:$F$2000=""Sim"")*REGEXMATCH(RASTREABILIDADE!$E$2:$E$2000,""(^|[^A-Za-z0-9])""&amp;$B163&amp;""($|[^A-Za-z0-9])"")*(((RESUMO!$B$5=""Todas"")+(RASTREABILIDADE!$C$2:$C$2000="&amp;"RESUMO!$B$5))&gt;0)*(((RESUMO!$B$6=""Todas"")+(RASTREABILIDADE!$B$2:$B$2000=RESUMO!$B$6))&gt;0))&gt;0,1,0))"),"")</f>
        <v/>
      </c>
      <c r="G163" s="47" t="str">
        <f>IFERROR(__xludf.DUMMYFUNCTION("IF($B163="""","""",IF(SUMPRODUCT((RASTREABILIDADE!$A$2:$A$2000=""C2"")*(RASTREABILIDADE!$F$2:$F$2000=""Sim"")*REGEXMATCH(RASTREABILIDADE!$E$2:$E$2000,""(^|[^A-Za-z0-9])""&amp;$B163&amp;""($|[^A-Za-z0-9])"")*(((RESUMO!$B$5=""Todas"")+(RASTREABILIDADE!$C$2:$C$2000="&amp;"RESUMO!$B$5))&gt;0)*(((RESUMO!$B$6=""Todas"")+(RASTREABILIDADE!$B$2:$B$2000=RESUMO!$B$6))&gt;0))&gt;0,1,0))"),"")</f>
        <v/>
      </c>
      <c r="H163" s="47" t="str">
        <f>IF(OR($C163="",$D163&lt;&gt;"Sim"),"",IF(COUNTIFS(RASTREABILIDADE!$A:$A,"C0",RASTREABILIDADE!$G:$G,$C163,RASTREABILIDADE!$H:$H,"Sim",RASTREABILIDADE!$C:$C,IF(RESUMO!$B$5="Todas","&lt;&gt;",RESUMO!$B$5),RASTREABILIDADE!$B:$B,IF(RESUMO!$B$6="Todas","&lt;&gt;",RESUMO!$B$6))&gt;0,1,0))</f>
        <v/>
      </c>
      <c r="I163" s="47" t="str">
        <f>IF(OR($C163="",$D163&lt;&gt;"Sim"),"",IF(COUNTIFS(RASTREABILIDADE!$A:$A,"C1",RASTREABILIDADE!$G:$G,$C163,RASTREABILIDADE!$H:$H,"Sim",RASTREABILIDADE!$C:$C,IF(RESUMO!$B$5="Todas","&lt;&gt;",RESUMO!$B$5),RASTREABILIDADE!$B:$B,IF(RESUMO!$B$6="Todas","&lt;&gt;",RESUMO!$B$6))&gt;0,1,0))</f>
        <v/>
      </c>
      <c r="J163" s="47" t="str">
        <f>IF(OR($C163="",$D163&lt;&gt;"Sim"),"",IF(COUNTIFS(RASTREABILIDADE!$A:$A,"C2",RASTREABILIDADE!$G:$G,$C163,RASTREABILIDADE!$H:$H,"Sim",RASTREABILIDADE!$C:$C,IF(RESUMO!$B$5="Todas","&lt;&gt;",RESUMO!$B$5),RASTREABILIDADE!$B:$B,IF(RESUMO!$B$6="Todas","&lt;&gt;",RESUMO!$B$6))&gt;0,1,0))</f>
        <v/>
      </c>
    </row>
    <row r="164" ht="15.75" customHeight="1">
      <c r="A164" s="47">
        <v>164.0</v>
      </c>
      <c r="B164" s="47" t="str">
        <f>IF(GABARITO!$B165="","",IF(COUNTIF(GABARITO!$B$4:$B165,GABARITO!$B165)=1,GABARITO!$B165,""))</f>
        <v/>
      </c>
      <c r="C164" s="47" t="str">
        <f>IF(GABARITO!$G165="","",GABARITO!$G165)</f>
        <v/>
      </c>
      <c r="D164" s="47" t="str">
        <f>IF(GABARITO!$J165="","",GABARITO!$J165)</f>
        <v/>
      </c>
      <c r="E164" s="47" t="str">
        <f>IFERROR(__xludf.DUMMYFUNCTION("IF($B164="""","""",IF(SUMPRODUCT((RASTREABILIDADE!$A$2:$A$2000=""C0"")*(RASTREABILIDADE!$F$2:$F$2000=""Sim"")*REGEXMATCH(RASTREABILIDADE!$E$2:$E$2000,""(^|[^A-Za-z0-9])""&amp;$B164&amp;""($|[^A-Za-z0-9])"")*(((RESUMO!$B$5=""Todas"")+(RASTREABILIDADE!$C$2:$C$2000="&amp;"RESUMO!$B$5))&gt;0)*(((RESUMO!$B$6=""Todas"")+(RASTREABILIDADE!$B$2:$B$2000=RESUMO!$B$6))&gt;0))&gt;0,1,0))"),"")</f>
        <v/>
      </c>
      <c r="F164" s="47" t="str">
        <f>IFERROR(__xludf.DUMMYFUNCTION("IF($B164="""","""",IF(SUMPRODUCT((RASTREABILIDADE!$A$2:$A$2000=""C1"")*(RASTREABILIDADE!$F$2:$F$2000=""Sim"")*REGEXMATCH(RASTREABILIDADE!$E$2:$E$2000,""(^|[^A-Za-z0-9])""&amp;$B164&amp;""($|[^A-Za-z0-9])"")*(((RESUMO!$B$5=""Todas"")+(RASTREABILIDADE!$C$2:$C$2000="&amp;"RESUMO!$B$5))&gt;0)*(((RESUMO!$B$6=""Todas"")+(RASTREABILIDADE!$B$2:$B$2000=RESUMO!$B$6))&gt;0))&gt;0,1,0))"),"")</f>
        <v/>
      </c>
      <c r="G164" s="47" t="str">
        <f>IFERROR(__xludf.DUMMYFUNCTION("IF($B164="""","""",IF(SUMPRODUCT((RASTREABILIDADE!$A$2:$A$2000=""C2"")*(RASTREABILIDADE!$F$2:$F$2000=""Sim"")*REGEXMATCH(RASTREABILIDADE!$E$2:$E$2000,""(^|[^A-Za-z0-9])""&amp;$B164&amp;""($|[^A-Za-z0-9])"")*(((RESUMO!$B$5=""Todas"")+(RASTREABILIDADE!$C$2:$C$2000="&amp;"RESUMO!$B$5))&gt;0)*(((RESUMO!$B$6=""Todas"")+(RASTREABILIDADE!$B$2:$B$2000=RESUMO!$B$6))&gt;0))&gt;0,1,0))"),"")</f>
        <v/>
      </c>
      <c r="H164" s="47" t="str">
        <f>IF(OR($C164="",$D164&lt;&gt;"Sim"),"",IF(COUNTIFS(RASTREABILIDADE!$A:$A,"C0",RASTREABILIDADE!$G:$G,$C164,RASTREABILIDADE!$H:$H,"Sim",RASTREABILIDADE!$C:$C,IF(RESUMO!$B$5="Todas","&lt;&gt;",RESUMO!$B$5),RASTREABILIDADE!$B:$B,IF(RESUMO!$B$6="Todas","&lt;&gt;",RESUMO!$B$6))&gt;0,1,0))</f>
        <v/>
      </c>
      <c r="I164" s="47" t="str">
        <f>IF(OR($C164="",$D164&lt;&gt;"Sim"),"",IF(COUNTIFS(RASTREABILIDADE!$A:$A,"C1",RASTREABILIDADE!$G:$G,$C164,RASTREABILIDADE!$H:$H,"Sim",RASTREABILIDADE!$C:$C,IF(RESUMO!$B$5="Todas","&lt;&gt;",RESUMO!$B$5),RASTREABILIDADE!$B:$B,IF(RESUMO!$B$6="Todas","&lt;&gt;",RESUMO!$B$6))&gt;0,1,0))</f>
        <v/>
      </c>
      <c r="J164" s="47" t="str">
        <f>IF(OR($C164="",$D164&lt;&gt;"Sim"),"",IF(COUNTIFS(RASTREABILIDADE!$A:$A,"C2",RASTREABILIDADE!$G:$G,$C164,RASTREABILIDADE!$H:$H,"Sim",RASTREABILIDADE!$C:$C,IF(RESUMO!$B$5="Todas","&lt;&gt;",RESUMO!$B$5),RASTREABILIDADE!$B:$B,IF(RESUMO!$B$6="Todas","&lt;&gt;",RESUMO!$B$6))&gt;0,1,0))</f>
        <v/>
      </c>
    </row>
    <row r="165" ht="15.75" customHeight="1">
      <c r="A165" s="47">
        <v>165.0</v>
      </c>
      <c r="B165" s="47" t="str">
        <f>IF(GABARITO!$B166="","",IF(COUNTIF(GABARITO!$B$4:$B166,GABARITO!$B166)=1,GABARITO!$B166,""))</f>
        <v/>
      </c>
      <c r="C165" s="47" t="str">
        <f>IF(GABARITO!$G166="","",GABARITO!$G166)</f>
        <v/>
      </c>
      <c r="D165" s="47" t="str">
        <f>IF(GABARITO!$J166="","",GABARITO!$J166)</f>
        <v/>
      </c>
      <c r="E165" s="47" t="str">
        <f>IFERROR(__xludf.DUMMYFUNCTION("IF($B165="""","""",IF(SUMPRODUCT((RASTREABILIDADE!$A$2:$A$2000=""C0"")*(RASTREABILIDADE!$F$2:$F$2000=""Sim"")*REGEXMATCH(RASTREABILIDADE!$E$2:$E$2000,""(^|[^A-Za-z0-9])""&amp;$B165&amp;""($|[^A-Za-z0-9])"")*(((RESUMO!$B$5=""Todas"")+(RASTREABILIDADE!$C$2:$C$2000="&amp;"RESUMO!$B$5))&gt;0)*(((RESUMO!$B$6=""Todas"")+(RASTREABILIDADE!$B$2:$B$2000=RESUMO!$B$6))&gt;0))&gt;0,1,0))"),"")</f>
        <v/>
      </c>
      <c r="F165" s="47" t="str">
        <f>IFERROR(__xludf.DUMMYFUNCTION("IF($B165="""","""",IF(SUMPRODUCT((RASTREABILIDADE!$A$2:$A$2000=""C1"")*(RASTREABILIDADE!$F$2:$F$2000=""Sim"")*REGEXMATCH(RASTREABILIDADE!$E$2:$E$2000,""(^|[^A-Za-z0-9])""&amp;$B165&amp;""($|[^A-Za-z0-9])"")*(((RESUMO!$B$5=""Todas"")+(RASTREABILIDADE!$C$2:$C$2000="&amp;"RESUMO!$B$5))&gt;0)*(((RESUMO!$B$6=""Todas"")+(RASTREABILIDADE!$B$2:$B$2000=RESUMO!$B$6))&gt;0))&gt;0,1,0))"),"")</f>
        <v/>
      </c>
      <c r="G165" s="47" t="str">
        <f>IFERROR(__xludf.DUMMYFUNCTION("IF($B165="""","""",IF(SUMPRODUCT((RASTREABILIDADE!$A$2:$A$2000=""C2"")*(RASTREABILIDADE!$F$2:$F$2000=""Sim"")*REGEXMATCH(RASTREABILIDADE!$E$2:$E$2000,""(^|[^A-Za-z0-9])""&amp;$B165&amp;""($|[^A-Za-z0-9])"")*(((RESUMO!$B$5=""Todas"")+(RASTREABILIDADE!$C$2:$C$2000="&amp;"RESUMO!$B$5))&gt;0)*(((RESUMO!$B$6=""Todas"")+(RASTREABILIDADE!$B$2:$B$2000=RESUMO!$B$6))&gt;0))&gt;0,1,0))"),"")</f>
        <v/>
      </c>
      <c r="H165" s="47" t="str">
        <f>IF(OR($C165="",$D165&lt;&gt;"Sim"),"",IF(COUNTIFS(RASTREABILIDADE!$A:$A,"C0",RASTREABILIDADE!$G:$G,$C165,RASTREABILIDADE!$H:$H,"Sim",RASTREABILIDADE!$C:$C,IF(RESUMO!$B$5="Todas","&lt;&gt;",RESUMO!$B$5),RASTREABILIDADE!$B:$B,IF(RESUMO!$B$6="Todas","&lt;&gt;",RESUMO!$B$6))&gt;0,1,0))</f>
        <v/>
      </c>
      <c r="I165" s="47" t="str">
        <f>IF(OR($C165="",$D165&lt;&gt;"Sim"),"",IF(COUNTIFS(RASTREABILIDADE!$A:$A,"C1",RASTREABILIDADE!$G:$G,$C165,RASTREABILIDADE!$H:$H,"Sim",RASTREABILIDADE!$C:$C,IF(RESUMO!$B$5="Todas","&lt;&gt;",RESUMO!$B$5),RASTREABILIDADE!$B:$B,IF(RESUMO!$B$6="Todas","&lt;&gt;",RESUMO!$B$6))&gt;0,1,0))</f>
        <v/>
      </c>
      <c r="J165" s="47" t="str">
        <f>IF(OR($C165="",$D165&lt;&gt;"Sim"),"",IF(COUNTIFS(RASTREABILIDADE!$A:$A,"C2",RASTREABILIDADE!$G:$G,$C165,RASTREABILIDADE!$H:$H,"Sim",RASTREABILIDADE!$C:$C,IF(RESUMO!$B$5="Todas","&lt;&gt;",RESUMO!$B$5),RASTREABILIDADE!$B:$B,IF(RESUMO!$B$6="Todas","&lt;&gt;",RESUMO!$B$6))&gt;0,1,0))</f>
        <v/>
      </c>
    </row>
    <row r="166" ht="15.75" customHeight="1">
      <c r="A166" s="47">
        <v>166.0</v>
      </c>
      <c r="B166" s="47" t="str">
        <f>IF(GABARITO!$B167="","",IF(COUNTIF(GABARITO!$B$4:$B167,GABARITO!$B167)=1,GABARITO!$B167,""))</f>
        <v/>
      </c>
      <c r="C166" s="47" t="str">
        <f>IF(GABARITO!$G167="","",GABARITO!$G167)</f>
        <v/>
      </c>
      <c r="D166" s="47" t="str">
        <f>IF(GABARITO!$J167="","",GABARITO!$J167)</f>
        <v/>
      </c>
      <c r="E166" s="47" t="str">
        <f>IFERROR(__xludf.DUMMYFUNCTION("IF($B166="""","""",IF(SUMPRODUCT((RASTREABILIDADE!$A$2:$A$2000=""C0"")*(RASTREABILIDADE!$F$2:$F$2000=""Sim"")*REGEXMATCH(RASTREABILIDADE!$E$2:$E$2000,""(^|[^A-Za-z0-9])""&amp;$B166&amp;""($|[^A-Za-z0-9])"")*(((RESUMO!$B$5=""Todas"")+(RASTREABILIDADE!$C$2:$C$2000="&amp;"RESUMO!$B$5))&gt;0)*(((RESUMO!$B$6=""Todas"")+(RASTREABILIDADE!$B$2:$B$2000=RESUMO!$B$6))&gt;0))&gt;0,1,0))"),"")</f>
        <v/>
      </c>
      <c r="F166" s="47" t="str">
        <f>IFERROR(__xludf.DUMMYFUNCTION("IF($B166="""","""",IF(SUMPRODUCT((RASTREABILIDADE!$A$2:$A$2000=""C1"")*(RASTREABILIDADE!$F$2:$F$2000=""Sim"")*REGEXMATCH(RASTREABILIDADE!$E$2:$E$2000,""(^|[^A-Za-z0-9])""&amp;$B166&amp;""($|[^A-Za-z0-9])"")*(((RESUMO!$B$5=""Todas"")+(RASTREABILIDADE!$C$2:$C$2000="&amp;"RESUMO!$B$5))&gt;0)*(((RESUMO!$B$6=""Todas"")+(RASTREABILIDADE!$B$2:$B$2000=RESUMO!$B$6))&gt;0))&gt;0,1,0))"),"")</f>
        <v/>
      </c>
      <c r="G166" s="47" t="str">
        <f>IFERROR(__xludf.DUMMYFUNCTION("IF($B166="""","""",IF(SUMPRODUCT((RASTREABILIDADE!$A$2:$A$2000=""C2"")*(RASTREABILIDADE!$F$2:$F$2000=""Sim"")*REGEXMATCH(RASTREABILIDADE!$E$2:$E$2000,""(^|[^A-Za-z0-9])""&amp;$B166&amp;""($|[^A-Za-z0-9])"")*(((RESUMO!$B$5=""Todas"")+(RASTREABILIDADE!$C$2:$C$2000="&amp;"RESUMO!$B$5))&gt;0)*(((RESUMO!$B$6=""Todas"")+(RASTREABILIDADE!$B$2:$B$2000=RESUMO!$B$6))&gt;0))&gt;0,1,0))"),"")</f>
        <v/>
      </c>
      <c r="H166" s="47" t="str">
        <f>IF(OR($C166="",$D166&lt;&gt;"Sim"),"",IF(COUNTIFS(RASTREABILIDADE!$A:$A,"C0",RASTREABILIDADE!$G:$G,$C166,RASTREABILIDADE!$H:$H,"Sim",RASTREABILIDADE!$C:$C,IF(RESUMO!$B$5="Todas","&lt;&gt;",RESUMO!$B$5),RASTREABILIDADE!$B:$B,IF(RESUMO!$B$6="Todas","&lt;&gt;",RESUMO!$B$6))&gt;0,1,0))</f>
        <v/>
      </c>
      <c r="I166" s="47" t="str">
        <f>IF(OR($C166="",$D166&lt;&gt;"Sim"),"",IF(COUNTIFS(RASTREABILIDADE!$A:$A,"C1",RASTREABILIDADE!$G:$G,$C166,RASTREABILIDADE!$H:$H,"Sim",RASTREABILIDADE!$C:$C,IF(RESUMO!$B$5="Todas","&lt;&gt;",RESUMO!$B$5),RASTREABILIDADE!$B:$B,IF(RESUMO!$B$6="Todas","&lt;&gt;",RESUMO!$B$6))&gt;0,1,0))</f>
        <v/>
      </c>
      <c r="J166" s="47" t="str">
        <f>IF(OR($C166="",$D166&lt;&gt;"Sim"),"",IF(COUNTIFS(RASTREABILIDADE!$A:$A,"C2",RASTREABILIDADE!$G:$G,$C166,RASTREABILIDADE!$H:$H,"Sim",RASTREABILIDADE!$C:$C,IF(RESUMO!$B$5="Todas","&lt;&gt;",RESUMO!$B$5),RASTREABILIDADE!$B:$B,IF(RESUMO!$B$6="Todas","&lt;&gt;",RESUMO!$B$6))&gt;0,1,0))</f>
        <v/>
      </c>
    </row>
    <row r="167" ht="15.75" customHeight="1">
      <c r="A167" s="47">
        <v>167.0</v>
      </c>
      <c r="B167" s="47" t="str">
        <f>IF(GABARITO!$B168="","",IF(COUNTIF(GABARITO!$B$4:$B168,GABARITO!$B168)=1,GABARITO!$B168,""))</f>
        <v/>
      </c>
      <c r="C167" s="47" t="str">
        <f>IF(GABARITO!$G168="","",GABARITO!$G168)</f>
        <v/>
      </c>
      <c r="D167" s="47" t="str">
        <f>IF(GABARITO!$J168="","",GABARITO!$J168)</f>
        <v/>
      </c>
      <c r="E167" s="47" t="str">
        <f>IFERROR(__xludf.DUMMYFUNCTION("IF($B167="""","""",IF(SUMPRODUCT((RASTREABILIDADE!$A$2:$A$2000=""C0"")*(RASTREABILIDADE!$F$2:$F$2000=""Sim"")*REGEXMATCH(RASTREABILIDADE!$E$2:$E$2000,""(^|[^A-Za-z0-9])""&amp;$B167&amp;""($|[^A-Za-z0-9])"")*(((RESUMO!$B$5=""Todas"")+(RASTREABILIDADE!$C$2:$C$2000="&amp;"RESUMO!$B$5))&gt;0)*(((RESUMO!$B$6=""Todas"")+(RASTREABILIDADE!$B$2:$B$2000=RESUMO!$B$6))&gt;0))&gt;0,1,0))"),"")</f>
        <v/>
      </c>
      <c r="F167" s="47" t="str">
        <f>IFERROR(__xludf.DUMMYFUNCTION("IF($B167="""","""",IF(SUMPRODUCT((RASTREABILIDADE!$A$2:$A$2000=""C1"")*(RASTREABILIDADE!$F$2:$F$2000=""Sim"")*REGEXMATCH(RASTREABILIDADE!$E$2:$E$2000,""(^|[^A-Za-z0-9])""&amp;$B167&amp;""($|[^A-Za-z0-9])"")*(((RESUMO!$B$5=""Todas"")+(RASTREABILIDADE!$C$2:$C$2000="&amp;"RESUMO!$B$5))&gt;0)*(((RESUMO!$B$6=""Todas"")+(RASTREABILIDADE!$B$2:$B$2000=RESUMO!$B$6))&gt;0))&gt;0,1,0))"),"")</f>
        <v/>
      </c>
      <c r="G167" s="47" t="str">
        <f>IFERROR(__xludf.DUMMYFUNCTION("IF($B167="""","""",IF(SUMPRODUCT((RASTREABILIDADE!$A$2:$A$2000=""C2"")*(RASTREABILIDADE!$F$2:$F$2000=""Sim"")*REGEXMATCH(RASTREABILIDADE!$E$2:$E$2000,""(^|[^A-Za-z0-9])""&amp;$B167&amp;""($|[^A-Za-z0-9])"")*(((RESUMO!$B$5=""Todas"")+(RASTREABILIDADE!$C$2:$C$2000="&amp;"RESUMO!$B$5))&gt;0)*(((RESUMO!$B$6=""Todas"")+(RASTREABILIDADE!$B$2:$B$2000=RESUMO!$B$6))&gt;0))&gt;0,1,0))"),"")</f>
        <v/>
      </c>
      <c r="H167" s="47" t="str">
        <f>IF(OR($C167="",$D167&lt;&gt;"Sim"),"",IF(COUNTIFS(RASTREABILIDADE!$A:$A,"C0",RASTREABILIDADE!$G:$G,$C167,RASTREABILIDADE!$H:$H,"Sim",RASTREABILIDADE!$C:$C,IF(RESUMO!$B$5="Todas","&lt;&gt;",RESUMO!$B$5),RASTREABILIDADE!$B:$B,IF(RESUMO!$B$6="Todas","&lt;&gt;",RESUMO!$B$6))&gt;0,1,0))</f>
        <v/>
      </c>
      <c r="I167" s="47" t="str">
        <f>IF(OR($C167="",$D167&lt;&gt;"Sim"),"",IF(COUNTIFS(RASTREABILIDADE!$A:$A,"C1",RASTREABILIDADE!$G:$G,$C167,RASTREABILIDADE!$H:$H,"Sim",RASTREABILIDADE!$C:$C,IF(RESUMO!$B$5="Todas","&lt;&gt;",RESUMO!$B$5),RASTREABILIDADE!$B:$B,IF(RESUMO!$B$6="Todas","&lt;&gt;",RESUMO!$B$6))&gt;0,1,0))</f>
        <v/>
      </c>
      <c r="J167" s="47" t="str">
        <f>IF(OR($C167="",$D167&lt;&gt;"Sim"),"",IF(COUNTIFS(RASTREABILIDADE!$A:$A,"C2",RASTREABILIDADE!$G:$G,$C167,RASTREABILIDADE!$H:$H,"Sim",RASTREABILIDADE!$C:$C,IF(RESUMO!$B$5="Todas","&lt;&gt;",RESUMO!$B$5),RASTREABILIDADE!$B:$B,IF(RESUMO!$B$6="Todas","&lt;&gt;",RESUMO!$B$6))&gt;0,1,0))</f>
        <v/>
      </c>
    </row>
    <row r="168" ht="15.75" customHeight="1">
      <c r="A168" s="47">
        <v>168.0</v>
      </c>
      <c r="B168" s="47" t="str">
        <f>IF(GABARITO!$B169="","",IF(COUNTIF(GABARITO!$B$4:$B169,GABARITO!$B169)=1,GABARITO!$B169,""))</f>
        <v/>
      </c>
      <c r="C168" s="47" t="str">
        <f>IF(GABARITO!$G169="","",GABARITO!$G169)</f>
        <v/>
      </c>
      <c r="D168" s="47" t="str">
        <f>IF(GABARITO!$J169="","",GABARITO!$J169)</f>
        <v/>
      </c>
      <c r="E168" s="47" t="str">
        <f>IFERROR(__xludf.DUMMYFUNCTION("IF($B168="""","""",IF(SUMPRODUCT((RASTREABILIDADE!$A$2:$A$2000=""C0"")*(RASTREABILIDADE!$F$2:$F$2000=""Sim"")*REGEXMATCH(RASTREABILIDADE!$E$2:$E$2000,""(^|[^A-Za-z0-9])""&amp;$B168&amp;""($|[^A-Za-z0-9])"")*(((RESUMO!$B$5=""Todas"")+(RASTREABILIDADE!$C$2:$C$2000="&amp;"RESUMO!$B$5))&gt;0)*(((RESUMO!$B$6=""Todas"")+(RASTREABILIDADE!$B$2:$B$2000=RESUMO!$B$6))&gt;0))&gt;0,1,0))"),"")</f>
        <v/>
      </c>
      <c r="F168" s="47" t="str">
        <f>IFERROR(__xludf.DUMMYFUNCTION("IF($B168="""","""",IF(SUMPRODUCT((RASTREABILIDADE!$A$2:$A$2000=""C1"")*(RASTREABILIDADE!$F$2:$F$2000=""Sim"")*REGEXMATCH(RASTREABILIDADE!$E$2:$E$2000,""(^|[^A-Za-z0-9])""&amp;$B168&amp;""($|[^A-Za-z0-9])"")*(((RESUMO!$B$5=""Todas"")+(RASTREABILIDADE!$C$2:$C$2000="&amp;"RESUMO!$B$5))&gt;0)*(((RESUMO!$B$6=""Todas"")+(RASTREABILIDADE!$B$2:$B$2000=RESUMO!$B$6))&gt;0))&gt;0,1,0))"),"")</f>
        <v/>
      </c>
      <c r="G168" s="47" t="str">
        <f>IFERROR(__xludf.DUMMYFUNCTION("IF($B168="""","""",IF(SUMPRODUCT((RASTREABILIDADE!$A$2:$A$2000=""C2"")*(RASTREABILIDADE!$F$2:$F$2000=""Sim"")*REGEXMATCH(RASTREABILIDADE!$E$2:$E$2000,""(^|[^A-Za-z0-9])""&amp;$B168&amp;""($|[^A-Za-z0-9])"")*(((RESUMO!$B$5=""Todas"")+(RASTREABILIDADE!$C$2:$C$2000="&amp;"RESUMO!$B$5))&gt;0)*(((RESUMO!$B$6=""Todas"")+(RASTREABILIDADE!$B$2:$B$2000=RESUMO!$B$6))&gt;0))&gt;0,1,0))"),"")</f>
        <v/>
      </c>
      <c r="H168" s="47" t="str">
        <f>IF(OR($C168="",$D168&lt;&gt;"Sim"),"",IF(COUNTIFS(RASTREABILIDADE!$A:$A,"C0",RASTREABILIDADE!$G:$G,$C168,RASTREABILIDADE!$H:$H,"Sim",RASTREABILIDADE!$C:$C,IF(RESUMO!$B$5="Todas","&lt;&gt;",RESUMO!$B$5),RASTREABILIDADE!$B:$B,IF(RESUMO!$B$6="Todas","&lt;&gt;",RESUMO!$B$6))&gt;0,1,0))</f>
        <v/>
      </c>
      <c r="I168" s="47" t="str">
        <f>IF(OR($C168="",$D168&lt;&gt;"Sim"),"",IF(COUNTIFS(RASTREABILIDADE!$A:$A,"C1",RASTREABILIDADE!$G:$G,$C168,RASTREABILIDADE!$H:$H,"Sim",RASTREABILIDADE!$C:$C,IF(RESUMO!$B$5="Todas","&lt;&gt;",RESUMO!$B$5),RASTREABILIDADE!$B:$B,IF(RESUMO!$B$6="Todas","&lt;&gt;",RESUMO!$B$6))&gt;0,1,0))</f>
        <v/>
      </c>
      <c r="J168" s="47" t="str">
        <f>IF(OR($C168="",$D168&lt;&gt;"Sim"),"",IF(COUNTIFS(RASTREABILIDADE!$A:$A,"C2",RASTREABILIDADE!$G:$G,$C168,RASTREABILIDADE!$H:$H,"Sim",RASTREABILIDADE!$C:$C,IF(RESUMO!$B$5="Todas","&lt;&gt;",RESUMO!$B$5),RASTREABILIDADE!$B:$B,IF(RESUMO!$B$6="Todas","&lt;&gt;",RESUMO!$B$6))&gt;0,1,0))</f>
        <v/>
      </c>
    </row>
    <row r="169" ht="15.75" customHeight="1">
      <c r="A169" s="47">
        <v>169.0</v>
      </c>
      <c r="B169" s="47" t="str">
        <f>IF(GABARITO!$B170="","",IF(COUNTIF(GABARITO!$B$4:$B170,GABARITO!$B170)=1,GABARITO!$B170,""))</f>
        <v/>
      </c>
      <c r="C169" s="47" t="str">
        <f>IF(GABARITO!$G170="","",GABARITO!$G170)</f>
        <v/>
      </c>
      <c r="D169" s="47" t="str">
        <f>IF(GABARITO!$J170="","",GABARITO!$J170)</f>
        <v/>
      </c>
      <c r="E169" s="47" t="str">
        <f>IFERROR(__xludf.DUMMYFUNCTION("IF($B169="""","""",IF(SUMPRODUCT((RASTREABILIDADE!$A$2:$A$2000=""C0"")*(RASTREABILIDADE!$F$2:$F$2000=""Sim"")*REGEXMATCH(RASTREABILIDADE!$E$2:$E$2000,""(^|[^A-Za-z0-9])""&amp;$B169&amp;""($|[^A-Za-z0-9])"")*(((RESUMO!$B$5=""Todas"")+(RASTREABILIDADE!$C$2:$C$2000="&amp;"RESUMO!$B$5))&gt;0)*(((RESUMO!$B$6=""Todas"")+(RASTREABILIDADE!$B$2:$B$2000=RESUMO!$B$6))&gt;0))&gt;0,1,0))"),"")</f>
        <v/>
      </c>
      <c r="F169" s="47" t="str">
        <f>IFERROR(__xludf.DUMMYFUNCTION("IF($B169="""","""",IF(SUMPRODUCT((RASTREABILIDADE!$A$2:$A$2000=""C1"")*(RASTREABILIDADE!$F$2:$F$2000=""Sim"")*REGEXMATCH(RASTREABILIDADE!$E$2:$E$2000,""(^|[^A-Za-z0-9])""&amp;$B169&amp;""($|[^A-Za-z0-9])"")*(((RESUMO!$B$5=""Todas"")+(RASTREABILIDADE!$C$2:$C$2000="&amp;"RESUMO!$B$5))&gt;0)*(((RESUMO!$B$6=""Todas"")+(RASTREABILIDADE!$B$2:$B$2000=RESUMO!$B$6))&gt;0))&gt;0,1,0))"),"")</f>
        <v/>
      </c>
      <c r="G169" s="47" t="str">
        <f>IFERROR(__xludf.DUMMYFUNCTION("IF($B169="""","""",IF(SUMPRODUCT((RASTREABILIDADE!$A$2:$A$2000=""C2"")*(RASTREABILIDADE!$F$2:$F$2000=""Sim"")*REGEXMATCH(RASTREABILIDADE!$E$2:$E$2000,""(^|[^A-Za-z0-9])""&amp;$B169&amp;""($|[^A-Za-z0-9])"")*(((RESUMO!$B$5=""Todas"")+(RASTREABILIDADE!$C$2:$C$2000="&amp;"RESUMO!$B$5))&gt;0)*(((RESUMO!$B$6=""Todas"")+(RASTREABILIDADE!$B$2:$B$2000=RESUMO!$B$6))&gt;0))&gt;0,1,0))"),"")</f>
        <v/>
      </c>
      <c r="H169" s="47" t="str">
        <f>IF(OR($C169="",$D169&lt;&gt;"Sim"),"",IF(COUNTIFS(RASTREABILIDADE!$A:$A,"C0",RASTREABILIDADE!$G:$G,$C169,RASTREABILIDADE!$H:$H,"Sim",RASTREABILIDADE!$C:$C,IF(RESUMO!$B$5="Todas","&lt;&gt;",RESUMO!$B$5),RASTREABILIDADE!$B:$B,IF(RESUMO!$B$6="Todas","&lt;&gt;",RESUMO!$B$6))&gt;0,1,0))</f>
        <v/>
      </c>
      <c r="I169" s="47" t="str">
        <f>IF(OR($C169="",$D169&lt;&gt;"Sim"),"",IF(COUNTIFS(RASTREABILIDADE!$A:$A,"C1",RASTREABILIDADE!$G:$G,$C169,RASTREABILIDADE!$H:$H,"Sim",RASTREABILIDADE!$C:$C,IF(RESUMO!$B$5="Todas","&lt;&gt;",RESUMO!$B$5),RASTREABILIDADE!$B:$B,IF(RESUMO!$B$6="Todas","&lt;&gt;",RESUMO!$B$6))&gt;0,1,0))</f>
        <v/>
      </c>
      <c r="J169" s="47" t="str">
        <f>IF(OR($C169="",$D169&lt;&gt;"Sim"),"",IF(COUNTIFS(RASTREABILIDADE!$A:$A,"C2",RASTREABILIDADE!$G:$G,$C169,RASTREABILIDADE!$H:$H,"Sim",RASTREABILIDADE!$C:$C,IF(RESUMO!$B$5="Todas","&lt;&gt;",RESUMO!$B$5),RASTREABILIDADE!$B:$B,IF(RESUMO!$B$6="Todas","&lt;&gt;",RESUMO!$B$6))&gt;0,1,0))</f>
        <v/>
      </c>
    </row>
    <row r="170" ht="15.75" customHeight="1">
      <c r="A170" s="47">
        <v>170.0</v>
      </c>
      <c r="B170" s="47" t="str">
        <f>IF(GABARITO!$B171="","",IF(COUNTIF(GABARITO!$B$4:$B171,GABARITO!$B171)=1,GABARITO!$B171,""))</f>
        <v/>
      </c>
      <c r="C170" s="47" t="str">
        <f>IF(GABARITO!$G171="","",GABARITO!$G171)</f>
        <v/>
      </c>
      <c r="D170" s="47" t="str">
        <f>IF(GABARITO!$J171="","",GABARITO!$J171)</f>
        <v/>
      </c>
      <c r="E170" s="47" t="str">
        <f>IFERROR(__xludf.DUMMYFUNCTION("IF($B170="""","""",IF(SUMPRODUCT((RASTREABILIDADE!$A$2:$A$2000=""C0"")*(RASTREABILIDADE!$F$2:$F$2000=""Sim"")*REGEXMATCH(RASTREABILIDADE!$E$2:$E$2000,""(^|[^A-Za-z0-9])""&amp;$B170&amp;""($|[^A-Za-z0-9])"")*(((RESUMO!$B$5=""Todas"")+(RASTREABILIDADE!$C$2:$C$2000="&amp;"RESUMO!$B$5))&gt;0)*(((RESUMO!$B$6=""Todas"")+(RASTREABILIDADE!$B$2:$B$2000=RESUMO!$B$6))&gt;0))&gt;0,1,0))"),"")</f>
        <v/>
      </c>
      <c r="F170" s="47" t="str">
        <f>IFERROR(__xludf.DUMMYFUNCTION("IF($B170="""","""",IF(SUMPRODUCT((RASTREABILIDADE!$A$2:$A$2000=""C1"")*(RASTREABILIDADE!$F$2:$F$2000=""Sim"")*REGEXMATCH(RASTREABILIDADE!$E$2:$E$2000,""(^|[^A-Za-z0-9])""&amp;$B170&amp;""($|[^A-Za-z0-9])"")*(((RESUMO!$B$5=""Todas"")+(RASTREABILIDADE!$C$2:$C$2000="&amp;"RESUMO!$B$5))&gt;0)*(((RESUMO!$B$6=""Todas"")+(RASTREABILIDADE!$B$2:$B$2000=RESUMO!$B$6))&gt;0))&gt;0,1,0))"),"")</f>
        <v/>
      </c>
      <c r="G170" s="47" t="str">
        <f>IFERROR(__xludf.DUMMYFUNCTION("IF($B170="""","""",IF(SUMPRODUCT((RASTREABILIDADE!$A$2:$A$2000=""C2"")*(RASTREABILIDADE!$F$2:$F$2000=""Sim"")*REGEXMATCH(RASTREABILIDADE!$E$2:$E$2000,""(^|[^A-Za-z0-9])""&amp;$B170&amp;""($|[^A-Za-z0-9])"")*(((RESUMO!$B$5=""Todas"")+(RASTREABILIDADE!$C$2:$C$2000="&amp;"RESUMO!$B$5))&gt;0)*(((RESUMO!$B$6=""Todas"")+(RASTREABILIDADE!$B$2:$B$2000=RESUMO!$B$6))&gt;0))&gt;0,1,0))"),"")</f>
        <v/>
      </c>
      <c r="H170" s="47" t="str">
        <f>IF(OR($C170="",$D170&lt;&gt;"Sim"),"",IF(COUNTIFS(RASTREABILIDADE!$A:$A,"C0",RASTREABILIDADE!$G:$G,$C170,RASTREABILIDADE!$H:$H,"Sim",RASTREABILIDADE!$C:$C,IF(RESUMO!$B$5="Todas","&lt;&gt;",RESUMO!$B$5),RASTREABILIDADE!$B:$B,IF(RESUMO!$B$6="Todas","&lt;&gt;",RESUMO!$B$6))&gt;0,1,0))</f>
        <v/>
      </c>
      <c r="I170" s="47" t="str">
        <f>IF(OR($C170="",$D170&lt;&gt;"Sim"),"",IF(COUNTIFS(RASTREABILIDADE!$A:$A,"C1",RASTREABILIDADE!$G:$G,$C170,RASTREABILIDADE!$H:$H,"Sim",RASTREABILIDADE!$C:$C,IF(RESUMO!$B$5="Todas","&lt;&gt;",RESUMO!$B$5),RASTREABILIDADE!$B:$B,IF(RESUMO!$B$6="Todas","&lt;&gt;",RESUMO!$B$6))&gt;0,1,0))</f>
        <v/>
      </c>
      <c r="J170" s="47" t="str">
        <f>IF(OR($C170="",$D170&lt;&gt;"Sim"),"",IF(COUNTIFS(RASTREABILIDADE!$A:$A,"C2",RASTREABILIDADE!$G:$G,$C170,RASTREABILIDADE!$H:$H,"Sim",RASTREABILIDADE!$C:$C,IF(RESUMO!$B$5="Todas","&lt;&gt;",RESUMO!$B$5),RASTREABILIDADE!$B:$B,IF(RESUMO!$B$6="Todas","&lt;&gt;",RESUMO!$B$6))&gt;0,1,0))</f>
        <v/>
      </c>
    </row>
    <row r="171" ht="15.75" customHeight="1">
      <c r="A171" s="47">
        <v>171.0</v>
      </c>
      <c r="B171" s="47" t="str">
        <f>IF(GABARITO!$B172="","",IF(COUNTIF(GABARITO!$B$4:$B172,GABARITO!$B172)=1,GABARITO!$B172,""))</f>
        <v/>
      </c>
      <c r="C171" s="47" t="str">
        <f>IF(GABARITO!$G172="","",GABARITO!$G172)</f>
        <v/>
      </c>
      <c r="D171" s="47" t="str">
        <f>IF(GABARITO!$J172="","",GABARITO!$J172)</f>
        <v/>
      </c>
      <c r="E171" s="47" t="str">
        <f>IFERROR(__xludf.DUMMYFUNCTION("IF($B171="""","""",IF(SUMPRODUCT((RASTREABILIDADE!$A$2:$A$2000=""C0"")*(RASTREABILIDADE!$F$2:$F$2000=""Sim"")*REGEXMATCH(RASTREABILIDADE!$E$2:$E$2000,""(^|[^A-Za-z0-9])""&amp;$B171&amp;""($|[^A-Za-z0-9])"")*(((RESUMO!$B$5=""Todas"")+(RASTREABILIDADE!$C$2:$C$2000="&amp;"RESUMO!$B$5))&gt;0)*(((RESUMO!$B$6=""Todas"")+(RASTREABILIDADE!$B$2:$B$2000=RESUMO!$B$6))&gt;0))&gt;0,1,0))"),"")</f>
        <v/>
      </c>
      <c r="F171" s="47" t="str">
        <f>IFERROR(__xludf.DUMMYFUNCTION("IF($B171="""","""",IF(SUMPRODUCT((RASTREABILIDADE!$A$2:$A$2000=""C1"")*(RASTREABILIDADE!$F$2:$F$2000=""Sim"")*REGEXMATCH(RASTREABILIDADE!$E$2:$E$2000,""(^|[^A-Za-z0-9])""&amp;$B171&amp;""($|[^A-Za-z0-9])"")*(((RESUMO!$B$5=""Todas"")+(RASTREABILIDADE!$C$2:$C$2000="&amp;"RESUMO!$B$5))&gt;0)*(((RESUMO!$B$6=""Todas"")+(RASTREABILIDADE!$B$2:$B$2000=RESUMO!$B$6))&gt;0))&gt;0,1,0))"),"")</f>
        <v/>
      </c>
      <c r="G171" s="47" t="str">
        <f>IFERROR(__xludf.DUMMYFUNCTION("IF($B171="""","""",IF(SUMPRODUCT((RASTREABILIDADE!$A$2:$A$2000=""C2"")*(RASTREABILIDADE!$F$2:$F$2000=""Sim"")*REGEXMATCH(RASTREABILIDADE!$E$2:$E$2000,""(^|[^A-Za-z0-9])""&amp;$B171&amp;""($|[^A-Za-z0-9])"")*(((RESUMO!$B$5=""Todas"")+(RASTREABILIDADE!$C$2:$C$2000="&amp;"RESUMO!$B$5))&gt;0)*(((RESUMO!$B$6=""Todas"")+(RASTREABILIDADE!$B$2:$B$2000=RESUMO!$B$6))&gt;0))&gt;0,1,0))"),"")</f>
        <v/>
      </c>
      <c r="H171" s="47" t="str">
        <f>IF(OR($C171="",$D171&lt;&gt;"Sim"),"",IF(COUNTIFS(RASTREABILIDADE!$A:$A,"C0",RASTREABILIDADE!$G:$G,$C171,RASTREABILIDADE!$H:$H,"Sim",RASTREABILIDADE!$C:$C,IF(RESUMO!$B$5="Todas","&lt;&gt;",RESUMO!$B$5),RASTREABILIDADE!$B:$B,IF(RESUMO!$B$6="Todas","&lt;&gt;",RESUMO!$B$6))&gt;0,1,0))</f>
        <v/>
      </c>
      <c r="I171" s="47" t="str">
        <f>IF(OR($C171="",$D171&lt;&gt;"Sim"),"",IF(COUNTIFS(RASTREABILIDADE!$A:$A,"C1",RASTREABILIDADE!$G:$G,$C171,RASTREABILIDADE!$H:$H,"Sim",RASTREABILIDADE!$C:$C,IF(RESUMO!$B$5="Todas","&lt;&gt;",RESUMO!$B$5),RASTREABILIDADE!$B:$B,IF(RESUMO!$B$6="Todas","&lt;&gt;",RESUMO!$B$6))&gt;0,1,0))</f>
        <v/>
      </c>
      <c r="J171" s="47" t="str">
        <f>IF(OR($C171="",$D171&lt;&gt;"Sim"),"",IF(COUNTIFS(RASTREABILIDADE!$A:$A,"C2",RASTREABILIDADE!$G:$G,$C171,RASTREABILIDADE!$H:$H,"Sim",RASTREABILIDADE!$C:$C,IF(RESUMO!$B$5="Todas","&lt;&gt;",RESUMO!$B$5),RASTREABILIDADE!$B:$B,IF(RESUMO!$B$6="Todas","&lt;&gt;",RESUMO!$B$6))&gt;0,1,0))</f>
        <v/>
      </c>
    </row>
    <row r="172" ht="15.75" customHeight="1">
      <c r="A172" s="47">
        <v>172.0</v>
      </c>
      <c r="B172" s="47" t="str">
        <f>IF(GABARITO!$B173="","",IF(COUNTIF(GABARITO!$B$4:$B173,GABARITO!$B173)=1,GABARITO!$B173,""))</f>
        <v/>
      </c>
      <c r="C172" s="47" t="str">
        <f>IF(GABARITO!$G173="","",GABARITO!$G173)</f>
        <v/>
      </c>
      <c r="D172" s="47" t="str">
        <f>IF(GABARITO!$J173="","",GABARITO!$J173)</f>
        <v/>
      </c>
      <c r="E172" s="47" t="str">
        <f>IFERROR(__xludf.DUMMYFUNCTION("IF($B172="""","""",IF(SUMPRODUCT((RASTREABILIDADE!$A$2:$A$2000=""C0"")*(RASTREABILIDADE!$F$2:$F$2000=""Sim"")*REGEXMATCH(RASTREABILIDADE!$E$2:$E$2000,""(^|[^A-Za-z0-9])""&amp;$B172&amp;""($|[^A-Za-z0-9])"")*(((RESUMO!$B$5=""Todas"")+(RASTREABILIDADE!$C$2:$C$2000="&amp;"RESUMO!$B$5))&gt;0)*(((RESUMO!$B$6=""Todas"")+(RASTREABILIDADE!$B$2:$B$2000=RESUMO!$B$6))&gt;0))&gt;0,1,0))"),"")</f>
        <v/>
      </c>
      <c r="F172" s="47" t="str">
        <f>IFERROR(__xludf.DUMMYFUNCTION("IF($B172="""","""",IF(SUMPRODUCT((RASTREABILIDADE!$A$2:$A$2000=""C1"")*(RASTREABILIDADE!$F$2:$F$2000=""Sim"")*REGEXMATCH(RASTREABILIDADE!$E$2:$E$2000,""(^|[^A-Za-z0-9])""&amp;$B172&amp;""($|[^A-Za-z0-9])"")*(((RESUMO!$B$5=""Todas"")+(RASTREABILIDADE!$C$2:$C$2000="&amp;"RESUMO!$B$5))&gt;0)*(((RESUMO!$B$6=""Todas"")+(RASTREABILIDADE!$B$2:$B$2000=RESUMO!$B$6))&gt;0))&gt;0,1,0))"),"")</f>
        <v/>
      </c>
      <c r="G172" s="47" t="str">
        <f>IFERROR(__xludf.DUMMYFUNCTION("IF($B172="""","""",IF(SUMPRODUCT((RASTREABILIDADE!$A$2:$A$2000=""C2"")*(RASTREABILIDADE!$F$2:$F$2000=""Sim"")*REGEXMATCH(RASTREABILIDADE!$E$2:$E$2000,""(^|[^A-Za-z0-9])""&amp;$B172&amp;""($|[^A-Za-z0-9])"")*(((RESUMO!$B$5=""Todas"")+(RASTREABILIDADE!$C$2:$C$2000="&amp;"RESUMO!$B$5))&gt;0)*(((RESUMO!$B$6=""Todas"")+(RASTREABILIDADE!$B$2:$B$2000=RESUMO!$B$6))&gt;0))&gt;0,1,0))"),"")</f>
        <v/>
      </c>
      <c r="H172" s="47" t="str">
        <f>IF(OR($C172="",$D172&lt;&gt;"Sim"),"",IF(COUNTIFS(RASTREABILIDADE!$A:$A,"C0",RASTREABILIDADE!$G:$G,$C172,RASTREABILIDADE!$H:$H,"Sim",RASTREABILIDADE!$C:$C,IF(RESUMO!$B$5="Todas","&lt;&gt;",RESUMO!$B$5),RASTREABILIDADE!$B:$B,IF(RESUMO!$B$6="Todas","&lt;&gt;",RESUMO!$B$6))&gt;0,1,0))</f>
        <v/>
      </c>
      <c r="I172" s="47" t="str">
        <f>IF(OR($C172="",$D172&lt;&gt;"Sim"),"",IF(COUNTIFS(RASTREABILIDADE!$A:$A,"C1",RASTREABILIDADE!$G:$G,$C172,RASTREABILIDADE!$H:$H,"Sim",RASTREABILIDADE!$C:$C,IF(RESUMO!$B$5="Todas","&lt;&gt;",RESUMO!$B$5),RASTREABILIDADE!$B:$B,IF(RESUMO!$B$6="Todas","&lt;&gt;",RESUMO!$B$6))&gt;0,1,0))</f>
        <v/>
      </c>
      <c r="J172" s="47" t="str">
        <f>IF(OR($C172="",$D172&lt;&gt;"Sim"),"",IF(COUNTIFS(RASTREABILIDADE!$A:$A,"C2",RASTREABILIDADE!$G:$G,$C172,RASTREABILIDADE!$H:$H,"Sim",RASTREABILIDADE!$C:$C,IF(RESUMO!$B$5="Todas","&lt;&gt;",RESUMO!$B$5),RASTREABILIDADE!$B:$B,IF(RESUMO!$B$6="Todas","&lt;&gt;",RESUMO!$B$6))&gt;0,1,0))</f>
        <v/>
      </c>
    </row>
    <row r="173" ht="15.75" customHeight="1">
      <c r="A173" s="47">
        <v>173.0</v>
      </c>
      <c r="B173" s="47" t="str">
        <f>IF(GABARITO!$B174="","",IF(COUNTIF(GABARITO!$B$4:$B174,GABARITO!$B174)=1,GABARITO!$B174,""))</f>
        <v/>
      </c>
      <c r="C173" s="47" t="str">
        <f>IF(GABARITO!$G174="","",GABARITO!$G174)</f>
        <v/>
      </c>
      <c r="D173" s="47" t="str">
        <f>IF(GABARITO!$J174="","",GABARITO!$J174)</f>
        <v/>
      </c>
      <c r="E173" s="47" t="str">
        <f>IFERROR(__xludf.DUMMYFUNCTION("IF($B173="""","""",IF(SUMPRODUCT((RASTREABILIDADE!$A$2:$A$2000=""C0"")*(RASTREABILIDADE!$F$2:$F$2000=""Sim"")*REGEXMATCH(RASTREABILIDADE!$E$2:$E$2000,""(^|[^A-Za-z0-9])""&amp;$B173&amp;""($|[^A-Za-z0-9])"")*(((RESUMO!$B$5=""Todas"")+(RASTREABILIDADE!$C$2:$C$2000="&amp;"RESUMO!$B$5))&gt;0)*(((RESUMO!$B$6=""Todas"")+(RASTREABILIDADE!$B$2:$B$2000=RESUMO!$B$6))&gt;0))&gt;0,1,0))"),"")</f>
        <v/>
      </c>
      <c r="F173" s="47" t="str">
        <f>IFERROR(__xludf.DUMMYFUNCTION("IF($B173="""","""",IF(SUMPRODUCT((RASTREABILIDADE!$A$2:$A$2000=""C1"")*(RASTREABILIDADE!$F$2:$F$2000=""Sim"")*REGEXMATCH(RASTREABILIDADE!$E$2:$E$2000,""(^|[^A-Za-z0-9])""&amp;$B173&amp;""($|[^A-Za-z0-9])"")*(((RESUMO!$B$5=""Todas"")+(RASTREABILIDADE!$C$2:$C$2000="&amp;"RESUMO!$B$5))&gt;0)*(((RESUMO!$B$6=""Todas"")+(RASTREABILIDADE!$B$2:$B$2000=RESUMO!$B$6))&gt;0))&gt;0,1,0))"),"")</f>
        <v/>
      </c>
      <c r="G173" s="47" t="str">
        <f>IFERROR(__xludf.DUMMYFUNCTION("IF($B173="""","""",IF(SUMPRODUCT((RASTREABILIDADE!$A$2:$A$2000=""C2"")*(RASTREABILIDADE!$F$2:$F$2000=""Sim"")*REGEXMATCH(RASTREABILIDADE!$E$2:$E$2000,""(^|[^A-Za-z0-9])""&amp;$B173&amp;""($|[^A-Za-z0-9])"")*(((RESUMO!$B$5=""Todas"")+(RASTREABILIDADE!$C$2:$C$2000="&amp;"RESUMO!$B$5))&gt;0)*(((RESUMO!$B$6=""Todas"")+(RASTREABILIDADE!$B$2:$B$2000=RESUMO!$B$6))&gt;0))&gt;0,1,0))"),"")</f>
        <v/>
      </c>
      <c r="H173" s="47" t="str">
        <f>IF(OR($C173="",$D173&lt;&gt;"Sim"),"",IF(COUNTIFS(RASTREABILIDADE!$A:$A,"C0",RASTREABILIDADE!$G:$G,$C173,RASTREABILIDADE!$H:$H,"Sim",RASTREABILIDADE!$C:$C,IF(RESUMO!$B$5="Todas","&lt;&gt;",RESUMO!$B$5),RASTREABILIDADE!$B:$B,IF(RESUMO!$B$6="Todas","&lt;&gt;",RESUMO!$B$6))&gt;0,1,0))</f>
        <v/>
      </c>
      <c r="I173" s="47" t="str">
        <f>IF(OR($C173="",$D173&lt;&gt;"Sim"),"",IF(COUNTIFS(RASTREABILIDADE!$A:$A,"C1",RASTREABILIDADE!$G:$G,$C173,RASTREABILIDADE!$H:$H,"Sim",RASTREABILIDADE!$C:$C,IF(RESUMO!$B$5="Todas","&lt;&gt;",RESUMO!$B$5),RASTREABILIDADE!$B:$B,IF(RESUMO!$B$6="Todas","&lt;&gt;",RESUMO!$B$6))&gt;0,1,0))</f>
        <v/>
      </c>
      <c r="J173" s="47" t="str">
        <f>IF(OR($C173="",$D173&lt;&gt;"Sim"),"",IF(COUNTIFS(RASTREABILIDADE!$A:$A,"C2",RASTREABILIDADE!$G:$G,$C173,RASTREABILIDADE!$H:$H,"Sim",RASTREABILIDADE!$C:$C,IF(RESUMO!$B$5="Todas","&lt;&gt;",RESUMO!$B$5),RASTREABILIDADE!$B:$B,IF(RESUMO!$B$6="Todas","&lt;&gt;",RESUMO!$B$6))&gt;0,1,0))</f>
        <v/>
      </c>
    </row>
    <row r="174" ht="15.75" customHeight="1">
      <c r="A174" s="47">
        <v>174.0</v>
      </c>
      <c r="B174" s="47" t="str">
        <f>IF(GABARITO!$B175="","",IF(COUNTIF(GABARITO!$B$4:$B175,GABARITO!$B175)=1,GABARITO!$B175,""))</f>
        <v/>
      </c>
      <c r="C174" s="47" t="str">
        <f>IF(GABARITO!$G175="","",GABARITO!$G175)</f>
        <v/>
      </c>
      <c r="D174" s="47" t="str">
        <f>IF(GABARITO!$J175="","",GABARITO!$J175)</f>
        <v/>
      </c>
      <c r="E174" s="47" t="str">
        <f>IFERROR(__xludf.DUMMYFUNCTION("IF($B174="""","""",IF(SUMPRODUCT((RASTREABILIDADE!$A$2:$A$2000=""C0"")*(RASTREABILIDADE!$F$2:$F$2000=""Sim"")*REGEXMATCH(RASTREABILIDADE!$E$2:$E$2000,""(^|[^A-Za-z0-9])""&amp;$B174&amp;""($|[^A-Za-z0-9])"")*(((RESUMO!$B$5=""Todas"")+(RASTREABILIDADE!$C$2:$C$2000="&amp;"RESUMO!$B$5))&gt;0)*(((RESUMO!$B$6=""Todas"")+(RASTREABILIDADE!$B$2:$B$2000=RESUMO!$B$6))&gt;0))&gt;0,1,0))"),"")</f>
        <v/>
      </c>
      <c r="F174" s="47" t="str">
        <f>IFERROR(__xludf.DUMMYFUNCTION("IF($B174="""","""",IF(SUMPRODUCT((RASTREABILIDADE!$A$2:$A$2000=""C1"")*(RASTREABILIDADE!$F$2:$F$2000=""Sim"")*REGEXMATCH(RASTREABILIDADE!$E$2:$E$2000,""(^|[^A-Za-z0-9])""&amp;$B174&amp;""($|[^A-Za-z0-9])"")*(((RESUMO!$B$5=""Todas"")+(RASTREABILIDADE!$C$2:$C$2000="&amp;"RESUMO!$B$5))&gt;0)*(((RESUMO!$B$6=""Todas"")+(RASTREABILIDADE!$B$2:$B$2000=RESUMO!$B$6))&gt;0))&gt;0,1,0))"),"")</f>
        <v/>
      </c>
      <c r="G174" s="47" t="str">
        <f>IFERROR(__xludf.DUMMYFUNCTION("IF($B174="""","""",IF(SUMPRODUCT((RASTREABILIDADE!$A$2:$A$2000=""C2"")*(RASTREABILIDADE!$F$2:$F$2000=""Sim"")*REGEXMATCH(RASTREABILIDADE!$E$2:$E$2000,""(^|[^A-Za-z0-9])""&amp;$B174&amp;""($|[^A-Za-z0-9])"")*(((RESUMO!$B$5=""Todas"")+(RASTREABILIDADE!$C$2:$C$2000="&amp;"RESUMO!$B$5))&gt;0)*(((RESUMO!$B$6=""Todas"")+(RASTREABILIDADE!$B$2:$B$2000=RESUMO!$B$6))&gt;0))&gt;0,1,0))"),"")</f>
        <v/>
      </c>
      <c r="H174" s="47" t="str">
        <f>IF(OR($C174="",$D174&lt;&gt;"Sim"),"",IF(COUNTIFS(RASTREABILIDADE!$A:$A,"C0",RASTREABILIDADE!$G:$G,$C174,RASTREABILIDADE!$H:$H,"Sim",RASTREABILIDADE!$C:$C,IF(RESUMO!$B$5="Todas","&lt;&gt;",RESUMO!$B$5),RASTREABILIDADE!$B:$B,IF(RESUMO!$B$6="Todas","&lt;&gt;",RESUMO!$B$6))&gt;0,1,0))</f>
        <v/>
      </c>
      <c r="I174" s="47" t="str">
        <f>IF(OR($C174="",$D174&lt;&gt;"Sim"),"",IF(COUNTIFS(RASTREABILIDADE!$A:$A,"C1",RASTREABILIDADE!$G:$G,$C174,RASTREABILIDADE!$H:$H,"Sim",RASTREABILIDADE!$C:$C,IF(RESUMO!$B$5="Todas","&lt;&gt;",RESUMO!$B$5),RASTREABILIDADE!$B:$B,IF(RESUMO!$B$6="Todas","&lt;&gt;",RESUMO!$B$6))&gt;0,1,0))</f>
        <v/>
      </c>
      <c r="J174" s="47" t="str">
        <f>IF(OR($C174="",$D174&lt;&gt;"Sim"),"",IF(COUNTIFS(RASTREABILIDADE!$A:$A,"C2",RASTREABILIDADE!$G:$G,$C174,RASTREABILIDADE!$H:$H,"Sim",RASTREABILIDADE!$C:$C,IF(RESUMO!$B$5="Todas","&lt;&gt;",RESUMO!$B$5),RASTREABILIDADE!$B:$B,IF(RESUMO!$B$6="Todas","&lt;&gt;",RESUMO!$B$6))&gt;0,1,0))</f>
        <v/>
      </c>
    </row>
    <row r="175" ht="15.75" customHeight="1">
      <c r="A175" s="47">
        <v>175.0</v>
      </c>
      <c r="B175" s="47" t="str">
        <f>IF(GABARITO!$B176="","",IF(COUNTIF(GABARITO!$B$4:$B176,GABARITO!$B176)=1,GABARITO!$B176,""))</f>
        <v/>
      </c>
      <c r="C175" s="47" t="str">
        <f>IF(GABARITO!$G176="","",GABARITO!$G176)</f>
        <v/>
      </c>
      <c r="D175" s="47" t="str">
        <f>IF(GABARITO!$J176="","",GABARITO!$J176)</f>
        <v/>
      </c>
      <c r="E175" s="47" t="str">
        <f>IFERROR(__xludf.DUMMYFUNCTION("IF($B175="""","""",IF(SUMPRODUCT((RASTREABILIDADE!$A$2:$A$2000=""C0"")*(RASTREABILIDADE!$F$2:$F$2000=""Sim"")*REGEXMATCH(RASTREABILIDADE!$E$2:$E$2000,""(^|[^A-Za-z0-9])""&amp;$B175&amp;""($|[^A-Za-z0-9])"")*(((RESUMO!$B$5=""Todas"")+(RASTREABILIDADE!$C$2:$C$2000="&amp;"RESUMO!$B$5))&gt;0)*(((RESUMO!$B$6=""Todas"")+(RASTREABILIDADE!$B$2:$B$2000=RESUMO!$B$6))&gt;0))&gt;0,1,0))"),"")</f>
        <v/>
      </c>
      <c r="F175" s="47" t="str">
        <f>IFERROR(__xludf.DUMMYFUNCTION("IF($B175="""","""",IF(SUMPRODUCT((RASTREABILIDADE!$A$2:$A$2000=""C1"")*(RASTREABILIDADE!$F$2:$F$2000=""Sim"")*REGEXMATCH(RASTREABILIDADE!$E$2:$E$2000,""(^|[^A-Za-z0-9])""&amp;$B175&amp;""($|[^A-Za-z0-9])"")*(((RESUMO!$B$5=""Todas"")+(RASTREABILIDADE!$C$2:$C$2000="&amp;"RESUMO!$B$5))&gt;0)*(((RESUMO!$B$6=""Todas"")+(RASTREABILIDADE!$B$2:$B$2000=RESUMO!$B$6))&gt;0))&gt;0,1,0))"),"")</f>
        <v/>
      </c>
      <c r="G175" s="47" t="str">
        <f>IFERROR(__xludf.DUMMYFUNCTION("IF($B175="""","""",IF(SUMPRODUCT((RASTREABILIDADE!$A$2:$A$2000=""C2"")*(RASTREABILIDADE!$F$2:$F$2000=""Sim"")*REGEXMATCH(RASTREABILIDADE!$E$2:$E$2000,""(^|[^A-Za-z0-9])""&amp;$B175&amp;""($|[^A-Za-z0-9])"")*(((RESUMO!$B$5=""Todas"")+(RASTREABILIDADE!$C$2:$C$2000="&amp;"RESUMO!$B$5))&gt;0)*(((RESUMO!$B$6=""Todas"")+(RASTREABILIDADE!$B$2:$B$2000=RESUMO!$B$6))&gt;0))&gt;0,1,0))"),"")</f>
        <v/>
      </c>
      <c r="H175" s="47" t="str">
        <f>IF(OR($C175="",$D175&lt;&gt;"Sim"),"",IF(COUNTIFS(RASTREABILIDADE!$A:$A,"C0",RASTREABILIDADE!$G:$G,$C175,RASTREABILIDADE!$H:$H,"Sim",RASTREABILIDADE!$C:$C,IF(RESUMO!$B$5="Todas","&lt;&gt;",RESUMO!$B$5),RASTREABILIDADE!$B:$B,IF(RESUMO!$B$6="Todas","&lt;&gt;",RESUMO!$B$6))&gt;0,1,0))</f>
        <v/>
      </c>
      <c r="I175" s="47" t="str">
        <f>IF(OR($C175="",$D175&lt;&gt;"Sim"),"",IF(COUNTIFS(RASTREABILIDADE!$A:$A,"C1",RASTREABILIDADE!$G:$G,$C175,RASTREABILIDADE!$H:$H,"Sim",RASTREABILIDADE!$C:$C,IF(RESUMO!$B$5="Todas","&lt;&gt;",RESUMO!$B$5),RASTREABILIDADE!$B:$B,IF(RESUMO!$B$6="Todas","&lt;&gt;",RESUMO!$B$6))&gt;0,1,0))</f>
        <v/>
      </c>
      <c r="J175" s="47" t="str">
        <f>IF(OR($C175="",$D175&lt;&gt;"Sim"),"",IF(COUNTIFS(RASTREABILIDADE!$A:$A,"C2",RASTREABILIDADE!$G:$G,$C175,RASTREABILIDADE!$H:$H,"Sim",RASTREABILIDADE!$C:$C,IF(RESUMO!$B$5="Todas","&lt;&gt;",RESUMO!$B$5),RASTREABILIDADE!$B:$B,IF(RESUMO!$B$6="Todas","&lt;&gt;",RESUMO!$B$6))&gt;0,1,0))</f>
        <v/>
      </c>
    </row>
    <row r="176" ht="15.75" customHeight="1">
      <c r="A176" s="47">
        <v>176.0</v>
      </c>
      <c r="B176" s="47" t="str">
        <f>IF(GABARITO!$B177="","",IF(COUNTIF(GABARITO!$B$4:$B177,GABARITO!$B177)=1,GABARITO!$B177,""))</f>
        <v/>
      </c>
      <c r="C176" s="47" t="str">
        <f>IF(GABARITO!$G177="","",GABARITO!$G177)</f>
        <v/>
      </c>
      <c r="D176" s="47" t="str">
        <f>IF(GABARITO!$J177="","",GABARITO!$J177)</f>
        <v/>
      </c>
      <c r="E176" s="47" t="str">
        <f>IFERROR(__xludf.DUMMYFUNCTION("IF($B176="""","""",IF(SUMPRODUCT((RASTREABILIDADE!$A$2:$A$2000=""C0"")*(RASTREABILIDADE!$F$2:$F$2000=""Sim"")*REGEXMATCH(RASTREABILIDADE!$E$2:$E$2000,""(^|[^A-Za-z0-9])""&amp;$B176&amp;""($|[^A-Za-z0-9])"")*(((RESUMO!$B$5=""Todas"")+(RASTREABILIDADE!$C$2:$C$2000="&amp;"RESUMO!$B$5))&gt;0)*(((RESUMO!$B$6=""Todas"")+(RASTREABILIDADE!$B$2:$B$2000=RESUMO!$B$6))&gt;0))&gt;0,1,0))"),"")</f>
        <v/>
      </c>
      <c r="F176" s="47" t="str">
        <f>IFERROR(__xludf.DUMMYFUNCTION("IF($B176="""","""",IF(SUMPRODUCT((RASTREABILIDADE!$A$2:$A$2000=""C1"")*(RASTREABILIDADE!$F$2:$F$2000=""Sim"")*REGEXMATCH(RASTREABILIDADE!$E$2:$E$2000,""(^|[^A-Za-z0-9])""&amp;$B176&amp;""($|[^A-Za-z0-9])"")*(((RESUMO!$B$5=""Todas"")+(RASTREABILIDADE!$C$2:$C$2000="&amp;"RESUMO!$B$5))&gt;0)*(((RESUMO!$B$6=""Todas"")+(RASTREABILIDADE!$B$2:$B$2000=RESUMO!$B$6))&gt;0))&gt;0,1,0))"),"")</f>
        <v/>
      </c>
      <c r="G176" s="47" t="str">
        <f>IFERROR(__xludf.DUMMYFUNCTION("IF($B176="""","""",IF(SUMPRODUCT((RASTREABILIDADE!$A$2:$A$2000=""C2"")*(RASTREABILIDADE!$F$2:$F$2000=""Sim"")*REGEXMATCH(RASTREABILIDADE!$E$2:$E$2000,""(^|[^A-Za-z0-9])""&amp;$B176&amp;""($|[^A-Za-z0-9])"")*(((RESUMO!$B$5=""Todas"")+(RASTREABILIDADE!$C$2:$C$2000="&amp;"RESUMO!$B$5))&gt;0)*(((RESUMO!$B$6=""Todas"")+(RASTREABILIDADE!$B$2:$B$2000=RESUMO!$B$6))&gt;0))&gt;0,1,0))"),"")</f>
        <v/>
      </c>
      <c r="H176" s="47" t="str">
        <f>IF(OR($C176="",$D176&lt;&gt;"Sim"),"",IF(COUNTIFS(RASTREABILIDADE!$A:$A,"C0",RASTREABILIDADE!$G:$G,$C176,RASTREABILIDADE!$H:$H,"Sim",RASTREABILIDADE!$C:$C,IF(RESUMO!$B$5="Todas","&lt;&gt;",RESUMO!$B$5),RASTREABILIDADE!$B:$B,IF(RESUMO!$B$6="Todas","&lt;&gt;",RESUMO!$B$6))&gt;0,1,0))</f>
        <v/>
      </c>
      <c r="I176" s="47" t="str">
        <f>IF(OR($C176="",$D176&lt;&gt;"Sim"),"",IF(COUNTIFS(RASTREABILIDADE!$A:$A,"C1",RASTREABILIDADE!$G:$G,$C176,RASTREABILIDADE!$H:$H,"Sim",RASTREABILIDADE!$C:$C,IF(RESUMO!$B$5="Todas","&lt;&gt;",RESUMO!$B$5),RASTREABILIDADE!$B:$B,IF(RESUMO!$B$6="Todas","&lt;&gt;",RESUMO!$B$6))&gt;0,1,0))</f>
        <v/>
      </c>
      <c r="J176" s="47" t="str">
        <f>IF(OR($C176="",$D176&lt;&gt;"Sim"),"",IF(COUNTIFS(RASTREABILIDADE!$A:$A,"C2",RASTREABILIDADE!$G:$G,$C176,RASTREABILIDADE!$H:$H,"Sim",RASTREABILIDADE!$C:$C,IF(RESUMO!$B$5="Todas","&lt;&gt;",RESUMO!$B$5),RASTREABILIDADE!$B:$B,IF(RESUMO!$B$6="Todas","&lt;&gt;",RESUMO!$B$6))&gt;0,1,0))</f>
        <v/>
      </c>
    </row>
    <row r="177" ht="15.75" customHeight="1">
      <c r="A177" s="47">
        <v>177.0</v>
      </c>
      <c r="B177" s="47" t="str">
        <f>IF(GABARITO!$B178="","",IF(COUNTIF(GABARITO!$B$4:$B178,GABARITO!$B178)=1,GABARITO!$B178,""))</f>
        <v/>
      </c>
      <c r="C177" s="47" t="str">
        <f>IF(GABARITO!$G178="","",GABARITO!$G178)</f>
        <v/>
      </c>
      <c r="D177" s="47" t="str">
        <f>IF(GABARITO!$J178="","",GABARITO!$J178)</f>
        <v/>
      </c>
      <c r="E177" s="47" t="str">
        <f>IFERROR(__xludf.DUMMYFUNCTION("IF($B177="""","""",IF(SUMPRODUCT((RASTREABILIDADE!$A$2:$A$2000=""C0"")*(RASTREABILIDADE!$F$2:$F$2000=""Sim"")*REGEXMATCH(RASTREABILIDADE!$E$2:$E$2000,""(^|[^A-Za-z0-9])""&amp;$B177&amp;""($|[^A-Za-z0-9])"")*(((RESUMO!$B$5=""Todas"")+(RASTREABILIDADE!$C$2:$C$2000="&amp;"RESUMO!$B$5))&gt;0)*(((RESUMO!$B$6=""Todas"")+(RASTREABILIDADE!$B$2:$B$2000=RESUMO!$B$6))&gt;0))&gt;0,1,0))"),"")</f>
        <v/>
      </c>
      <c r="F177" s="47" t="str">
        <f>IFERROR(__xludf.DUMMYFUNCTION("IF($B177="""","""",IF(SUMPRODUCT((RASTREABILIDADE!$A$2:$A$2000=""C1"")*(RASTREABILIDADE!$F$2:$F$2000=""Sim"")*REGEXMATCH(RASTREABILIDADE!$E$2:$E$2000,""(^|[^A-Za-z0-9])""&amp;$B177&amp;""($|[^A-Za-z0-9])"")*(((RESUMO!$B$5=""Todas"")+(RASTREABILIDADE!$C$2:$C$2000="&amp;"RESUMO!$B$5))&gt;0)*(((RESUMO!$B$6=""Todas"")+(RASTREABILIDADE!$B$2:$B$2000=RESUMO!$B$6))&gt;0))&gt;0,1,0))"),"")</f>
        <v/>
      </c>
      <c r="G177" s="47" t="str">
        <f>IFERROR(__xludf.DUMMYFUNCTION("IF($B177="""","""",IF(SUMPRODUCT((RASTREABILIDADE!$A$2:$A$2000=""C2"")*(RASTREABILIDADE!$F$2:$F$2000=""Sim"")*REGEXMATCH(RASTREABILIDADE!$E$2:$E$2000,""(^|[^A-Za-z0-9])""&amp;$B177&amp;""($|[^A-Za-z0-9])"")*(((RESUMO!$B$5=""Todas"")+(RASTREABILIDADE!$C$2:$C$2000="&amp;"RESUMO!$B$5))&gt;0)*(((RESUMO!$B$6=""Todas"")+(RASTREABILIDADE!$B$2:$B$2000=RESUMO!$B$6))&gt;0))&gt;0,1,0))"),"")</f>
        <v/>
      </c>
      <c r="H177" s="47" t="str">
        <f>IF(OR($C177="",$D177&lt;&gt;"Sim"),"",IF(COUNTIFS(RASTREABILIDADE!$A:$A,"C0",RASTREABILIDADE!$G:$G,$C177,RASTREABILIDADE!$H:$H,"Sim",RASTREABILIDADE!$C:$C,IF(RESUMO!$B$5="Todas","&lt;&gt;",RESUMO!$B$5),RASTREABILIDADE!$B:$B,IF(RESUMO!$B$6="Todas","&lt;&gt;",RESUMO!$B$6))&gt;0,1,0))</f>
        <v/>
      </c>
      <c r="I177" s="47" t="str">
        <f>IF(OR($C177="",$D177&lt;&gt;"Sim"),"",IF(COUNTIFS(RASTREABILIDADE!$A:$A,"C1",RASTREABILIDADE!$G:$G,$C177,RASTREABILIDADE!$H:$H,"Sim",RASTREABILIDADE!$C:$C,IF(RESUMO!$B$5="Todas","&lt;&gt;",RESUMO!$B$5),RASTREABILIDADE!$B:$B,IF(RESUMO!$B$6="Todas","&lt;&gt;",RESUMO!$B$6))&gt;0,1,0))</f>
        <v/>
      </c>
      <c r="J177" s="47" t="str">
        <f>IF(OR($C177="",$D177&lt;&gt;"Sim"),"",IF(COUNTIFS(RASTREABILIDADE!$A:$A,"C2",RASTREABILIDADE!$G:$G,$C177,RASTREABILIDADE!$H:$H,"Sim",RASTREABILIDADE!$C:$C,IF(RESUMO!$B$5="Todas","&lt;&gt;",RESUMO!$B$5),RASTREABILIDADE!$B:$B,IF(RESUMO!$B$6="Todas","&lt;&gt;",RESUMO!$B$6))&gt;0,1,0))</f>
        <v/>
      </c>
    </row>
    <row r="178" ht="15.75" customHeight="1">
      <c r="A178" s="47">
        <v>178.0</v>
      </c>
      <c r="B178" s="47" t="str">
        <f>IF(GABARITO!$B179="","",IF(COUNTIF(GABARITO!$B$4:$B179,GABARITO!$B179)=1,GABARITO!$B179,""))</f>
        <v/>
      </c>
      <c r="C178" s="47" t="str">
        <f>IF(GABARITO!$G179="","",GABARITO!$G179)</f>
        <v/>
      </c>
      <c r="D178" s="47" t="str">
        <f>IF(GABARITO!$J179="","",GABARITO!$J179)</f>
        <v/>
      </c>
      <c r="E178" s="47" t="str">
        <f>IFERROR(__xludf.DUMMYFUNCTION("IF($B178="""","""",IF(SUMPRODUCT((RASTREABILIDADE!$A$2:$A$2000=""C0"")*(RASTREABILIDADE!$F$2:$F$2000=""Sim"")*REGEXMATCH(RASTREABILIDADE!$E$2:$E$2000,""(^|[^A-Za-z0-9])""&amp;$B178&amp;""($|[^A-Za-z0-9])"")*(((RESUMO!$B$5=""Todas"")+(RASTREABILIDADE!$C$2:$C$2000="&amp;"RESUMO!$B$5))&gt;0)*(((RESUMO!$B$6=""Todas"")+(RASTREABILIDADE!$B$2:$B$2000=RESUMO!$B$6))&gt;0))&gt;0,1,0))"),"")</f>
        <v/>
      </c>
      <c r="F178" s="47" t="str">
        <f>IFERROR(__xludf.DUMMYFUNCTION("IF($B178="""","""",IF(SUMPRODUCT((RASTREABILIDADE!$A$2:$A$2000=""C1"")*(RASTREABILIDADE!$F$2:$F$2000=""Sim"")*REGEXMATCH(RASTREABILIDADE!$E$2:$E$2000,""(^|[^A-Za-z0-9])""&amp;$B178&amp;""($|[^A-Za-z0-9])"")*(((RESUMO!$B$5=""Todas"")+(RASTREABILIDADE!$C$2:$C$2000="&amp;"RESUMO!$B$5))&gt;0)*(((RESUMO!$B$6=""Todas"")+(RASTREABILIDADE!$B$2:$B$2000=RESUMO!$B$6))&gt;0))&gt;0,1,0))"),"")</f>
        <v/>
      </c>
      <c r="G178" s="47" t="str">
        <f>IFERROR(__xludf.DUMMYFUNCTION("IF($B178="""","""",IF(SUMPRODUCT((RASTREABILIDADE!$A$2:$A$2000=""C2"")*(RASTREABILIDADE!$F$2:$F$2000=""Sim"")*REGEXMATCH(RASTREABILIDADE!$E$2:$E$2000,""(^|[^A-Za-z0-9])""&amp;$B178&amp;""($|[^A-Za-z0-9])"")*(((RESUMO!$B$5=""Todas"")+(RASTREABILIDADE!$C$2:$C$2000="&amp;"RESUMO!$B$5))&gt;0)*(((RESUMO!$B$6=""Todas"")+(RASTREABILIDADE!$B$2:$B$2000=RESUMO!$B$6))&gt;0))&gt;0,1,0))"),"")</f>
        <v/>
      </c>
      <c r="H178" s="47" t="str">
        <f>IF(OR($C178="",$D178&lt;&gt;"Sim"),"",IF(COUNTIFS(RASTREABILIDADE!$A:$A,"C0",RASTREABILIDADE!$G:$G,$C178,RASTREABILIDADE!$H:$H,"Sim",RASTREABILIDADE!$C:$C,IF(RESUMO!$B$5="Todas","&lt;&gt;",RESUMO!$B$5),RASTREABILIDADE!$B:$B,IF(RESUMO!$B$6="Todas","&lt;&gt;",RESUMO!$B$6))&gt;0,1,0))</f>
        <v/>
      </c>
      <c r="I178" s="47" t="str">
        <f>IF(OR($C178="",$D178&lt;&gt;"Sim"),"",IF(COUNTIFS(RASTREABILIDADE!$A:$A,"C1",RASTREABILIDADE!$G:$G,$C178,RASTREABILIDADE!$H:$H,"Sim",RASTREABILIDADE!$C:$C,IF(RESUMO!$B$5="Todas","&lt;&gt;",RESUMO!$B$5),RASTREABILIDADE!$B:$B,IF(RESUMO!$B$6="Todas","&lt;&gt;",RESUMO!$B$6))&gt;0,1,0))</f>
        <v/>
      </c>
      <c r="J178" s="47" t="str">
        <f>IF(OR($C178="",$D178&lt;&gt;"Sim"),"",IF(COUNTIFS(RASTREABILIDADE!$A:$A,"C2",RASTREABILIDADE!$G:$G,$C178,RASTREABILIDADE!$H:$H,"Sim",RASTREABILIDADE!$C:$C,IF(RESUMO!$B$5="Todas","&lt;&gt;",RESUMO!$B$5),RASTREABILIDADE!$B:$B,IF(RESUMO!$B$6="Todas","&lt;&gt;",RESUMO!$B$6))&gt;0,1,0))</f>
        <v/>
      </c>
    </row>
    <row r="179" ht="15.75" customHeight="1">
      <c r="A179" s="47">
        <v>179.0</v>
      </c>
      <c r="B179" s="47" t="str">
        <f>IF(GABARITO!$B180="","",IF(COUNTIF(GABARITO!$B$4:$B180,GABARITO!$B180)=1,GABARITO!$B180,""))</f>
        <v/>
      </c>
      <c r="C179" s="47" t="str">
        <f>IF(GABARITO!$G180="","",GABARITO!$G180)</f>
        <v/>
      </c>
      <c r="D179" s="47" t="str">
        <f>IF(GABARITO!$J180="","",GABARITO!$J180)</f>
        <v/>
      </c>
      <c r="E179" s="47" t="str">
        <f>IFERROR(__xludf.DUMMYFUNCTION("IF($B179="""","""",IF(SUMPRODUCT((RASTREABILIDADE!$A$2:$A$2000=""C0"")*(RASTREABILIDADE!$F$2:$F$2000=""Sim"")*REGEXMATCH(RASTREABILIDADE!$E$2:$E$2000,""(^|[^A-Za-z0-9])""&amp;$B179&amp;""($|[^A-Za-z0-9])"")*(((RESUMO!$B$5=""Todas"")+(RASTREABILIDADE!$C$2:$C$2000="&amp;"RESUMO!$B$5))&gt;0)*(((RESUMO!$B$6=""Todas"")+(RASTREABILIDADE!$B$2:$B$2000=RESUMO!$B$6))&gt;0))&gt;0,1,0))"),"")</f>
        <v/>
      </c>
      <c r="F179" s="47" t="str">
        <f>IFERROR(__xludf.DUMMYFUNCTION("IF($B179="""","""",IF(SUMPRODUCT((RASTREABILIDADE!$A$2:$A$2000=""C1"")*(RASTREABILIDADE!$F$2:$F$2000=""Sim"")*REGEXMATCH(RASTREABILIDADE!$E$2:$E$2000,""(^|[^A-Za-z0-9])""&amp;$B179&amp;""($|[^A-Za-z0-9])"")*(((RESUMO!$B$5=""Todas"")+(RASTREABILIDADE!$C$2:$C$2000="&amp;"RESUMO!$B$5))&gt;0)*(((RESUMO!$B$6=""Todas"")+(RASTREABILIDADE!$B$2:$B$2000=RESUMO!$B$6))&gt;0))&gt;0,1,0))"),"")</f>
        <v/>
      </c>
      <c r="G179" s="47" t="str">
        <f>IFERROR(__xludf.DUMMYFUNCTION("IF($B179="""","""",IF(SUMPRODUCT((RASTREABILIDADE!$A$2:$A$2000=""C2"")*(RASTREABILIDADE!$F$2:$F$2000=""Sim"")*REGEXMATCH(RASTREABILIDADE!$E$2:$E$2000,""(^|[^A-Za-z0-9])""&amp;$B179&amp;""($|[^A-Za-z0-9])"")*(((RESUMO!$B$5=""Todas"")+(RASTREABILIDADE!$C$2:$C$2000="&amp;"RESUMO!$B$5))&gt;0)*(((RESUMO!$B$6=""Todas"")+(RASTREABILIDADE!$B$2:$B$2000=RESUMO!$B$6))&gt;0))&gt;0,1,0))"),"")</f>
        <v/>
      </c>
      <c r="H179" s="47" t="str">
        <f>IF(OR($C179="",$D179&lt;&gt;"Sim"),"",IF(COUNTIFS(RASTREABILIDADE!$A:$A,"C0",RASTREABILIDADE!$G:$G,$C179,RASTREABILIDADE!$H:$H,"Sim",RASTREABILIDADE!$C:$C,IF(RESUMO!$B$5="Todas","&lt;&gt;",RESUMO!$B$5),RASTREABILIDADE!$B:$B,IF(RESUMO!$B$6="Todas","&lt;&gt;",RESUMO!$B$6))&gt;0,1,0))</f>
        <v/>
      </c>
      <c r="I179" s="47" t="str">
        <f>IF(OR($C179="",$D179&lt;&gt;"Sim"),"",IF(COUNTIFS(RASTREABILIDADE!$A:$A,"C1",RASTREABILIDADE!$G:$G,$C179,RASTREABILIDADE!$H:$H,"Sim",RASTREABILIDADE!$C:$C,IF(RESUMO!$B$5="Todas","&lt;&gt;",RESUMO!$B$5),RASTREABILIDADE!$B:$B,IF(RESUMO!$B$6="Todas","&lt;&gt;",RESUMO!$B$6))&gt;0,1,0))</f>
        <v/>
      </c>
      <c r="J179" s="47" t="str">
        <f>IF(OR($C179="",$D179&lt;&gt;"Sim"),"",IF(COUNTIFS(RASTREABILIDADE!$A:$A,"C2",RASTREABILIDADE!$G:$G,$C179,RASTREABILIDADE!$H:$H,"Sim",RASTREABILIDADE!$C:$C,IF(RESUMO!$B$5="Todas","&lt;&gt;",RESUMO!$B$5),RASTREABILIDADE!$B:$B,IF(RESUMO!$B$6="Todas","&lt;&gt;",RESUMO!$B$6))&gt;0,1,0))</f>
        <v/>
      </c>
    </row>
    <row r="180" ht="15.75" customHeight="1">
      <c r="A180" s="47">
        <v>180.0</v>
      </c>
      <c r="B180" s="47" t="str">
        <f>IF(GABARITO!$B181="","",IF(COUNTIF(GABARITO!$B$4:$B181,GABARITO!$B181)=1,GABARITO!$B181,""))</f>
        <v/>
      </c>
      <c r="C180" s="47" t="str">
        <f>IF(GABARITO!$G181="","",GABARITO!$G181)</f>
        <v/>
      </c>
      <c r="D180" s="47" t="str">
        <f>IF(GABARITO!$J181="","",GABARITO!$J181)</f>
        <v/>
      </c>
      <c r="E180" s="47" t="str">
        <f>IFERROR(__xludf.DUMMYFUNCTION("IF($B180="""","""",IF(SUMPRODUCT((RASTREABILIDADE!$A$2:$A$2000=""C0"")*(RASTREABILIDADE!$F$2:$F$2000=""Sim"")*REGEXMATCH(RASTREABILIDADE!$E$2:$E$2000,""(^|[^A-Za-z0-9])""&amp;$B180&amp;""($|[^A-Za-z0-9])"")*(((RESUMO!$B$5=""Todas"")+(RASTREABILIDADE!$C$2:$C$2000="&amp;"RESUMO!$B$5))&gt;0)*(((RESUMO!$B$6=""Todas"")+(RASTREABILIDADE!$B$2:$B$2000=RESUMO!$B$6))&gt;0))&gt;0,1,0))"),"")</f>
        <v/>
      </c>
      <c r="F180" s="47" t="str">
        <f>IFERROR(__xludf.DUMMYFUNCTION("IF($B180="""","""",IF(SUMPRODUCT((RASTREABILIDADE!$A$2:$A$2000=""C1"")*(RASTREABILIDADE!$F$2:$F$2000=""Sim"")*REGEXMATCH(RASTREABILIDADE!$E$2:$E$2000,""(^|[^A-Za-z0-9])""&amp;$B180&amp;""($|[^A-Za-z0-9])"")*(((RESUMO!$B$5=""Todas"")+(RASTREABILIDADE!$C$2:$C$2000="&amp;"RESUMO!$B$5))&gt;0)*(((RESUMO!$B$6=""Todas"")+(RASTREABILIDADE!$B$2:$B$2000=RESUMO!$B$6))&gt;0))&gt;0,1,0))"),"")</f>
        <v/>
      </c>
      <c r="G180" s="47" t="str">
        <f>IFERROR(__xludf.DUMMYFUNCTION("IF($B180="""","""",IF(SUMPRODUCT((RASTREABILIDADE!$A$2:$A$2000=""C2"")*(RASTREABILIDADE!$F$2:$F$2000=""Sim"")*REGEXMATCH(RASTREABILIDADE!$E$2:$E$2000,""(^|[^A-Za-z0-9])""&amp;$B180&amp;""($|[^A-Za-z0-9])"")*(((RESUMO!$B$5=""Todas"")+(RASTREABILIDADE!$C$2:$C$2000="&amp;"RESUMO!$B$5))&gt;0)*(((RESUMO!$B$6=""Todas"")+(RASTREABILIDADE!$B$2:$B$2000=RESUMO!$B$6))&gt;0))&gt;0,1,0))"),"")</f>
        <v/>
      </c>
      <c r="H180" s="47" t="str">
        <f>IF(OR($C180="",$D180&lt;&gt;"Sim"),"",IF(COUNTIFS(RASTREABILIDADE!$A:$A,"C0",RASTREABILIDADE!$G:$G,$C180,RASTREABILIDADE!$H:$H,"Sim",RASTREABILIDADE!$C:$C,IF(RESUMO!$B$5="Todas","&lt;&gt;",RESUMO!$B$5),RASTREABILIDADE!$B:$B,IF(RESUMO!$B$6="Todas","&lt;&gt;",RESUMO!$B$6))&gt;0,1,0))</f>
        <v/>
      </c>
      <c r="I180" s="47" t="str">
        <f>IF(OR($C180="",$D180&lt;&gt;"Sim"),"",IF(COUNTIFS(RASTREABILIDADE!$A:$A,"C1",RASTREABILIDADE!$G:$G,$C180,RASTREABILIDADE!$H:$H,"Sim",RASTREABILIDADE!$C:$C,IF(RESUMO!$B$5="Todas","&lt;&gt;",RESUMO!$B$5),RASTREABILIDADE!$B:$B,IF(RESUMO!$B$6="Todas","&lt;&gt;",RESUMO!$B$6))&gt;0,1,0))</f>
        <v/>
      </c>
      <c r="J180" s="47" t="str">
        <f>IF(OR($C180="",$D180&lt;&gt;"Sim"),"",IF(COUNTIFS(RASTREABILIDADE!$A:$A,"C2",RASTREABILIDADE!$G:$G,$C180,RASTREABILIDADE!$H:$H,"Sim",RASTREABILIDADE!$C:$C,IF(RESUMO!$B$5="Todas","&lt;&gt;",RESUMO!$B$5),RASTREABILIDADE!$B:$B,IF(RESUMO!$B$6="Todas","&lt;&gt;",RESUMO!$B$6))&gt;0,1,0))</f>
        <v/>
      </c>
    </row>
    <row r="181" ht="15.75" customHeight="1">
      <c r="A181" s="47">
        <v>181.0</v>
      </c>
      <c r="B181" s="47" t="str">
        <f>IF(GABARITO!$B182="","",IF(COUNTIF(GABARITO!$B$4:$B182,GABARITO!$B182)=1,GABARITO!$B182,""))</f>
        <v/>
      </c>
      <c r="C181" s="47" t="str">
        <f>IF(GABARITO!$G182="","",GABARITO!$G182)</f>
        <v/>
      </c>
      <c r="D181" s="47" t="str">
        <f>IF(GABARITO!$J182="","",GABARITO!$J182)</f>
        <v/>
      </c>
      <c r="E181" s="47" t="str">
        <f>IFERROR(__xludf.DUMMYFUNCTION("IF($B181="""","""",IF(SUMPRODUCT((RASTREABILIDADE!$A$2:$A$2000=""C0"")*(RASTREABILIDADE!$F$2:$F$2000=""Sim"")*REGEXMATCH(RASTREABILIDADE!$E$2:$E$2000,""(^|[^A-Za-z0-9])""&amp;$B181&amp;""($|[^A-Za-z0-9])"")*(((RESUMO!$B$5=""Todas"")+(RASTREABILIDADE!$C$2:$C$2000="&amp;"RESUMO!$B$5))&gt;0)*(((RESUMO!$B$6=""Todas"")+(RASTREABILIDADE!$B$2:$B$2000=RESUMO!$B$6))&gt;0))&gt;0,1,0))"),"")</f>
        <v/>
      </c>
      <c r="F181" s="47" t="str">
        <f>IFERROR(__xludf.DUMMYFUNCTION("IF($B181="""","""",IF(SUMPRODUCT((RASTREABILIDADE!$A$2:$A$2000=""C1"")*(RASTREABILIDADE!$F$2:$F$2000=""Sim"")*REGEXMATCH(RASTREABILIDADE!$E$2:$E$2000,""(^|[^A-Za-z0-9])""&amp;$B181&amp;""($|[^A-Za-z0-9])"")*(((RESUMO!$B$5=""Todas"")+(RASTREABILIDADE!$C$2:$C$2000="&amp;"RESUMO!$B$5))&gt;0)*(((RESUMO!$B$6=""Todas"")+(RASTREABILIDADE!$B$2:$B$2000=RESUMO!$B$6))&gt;0))&gt;0,1,0))"),"")</f>
        <v/>
      </c>
      <c r="G181" s="47" t="str">
        <f>IFERROR(__xludf.DUMMYFUNCTION("IF($B181="""","""",IF(SUMPRODUCT((RASTREABILIDADE!$A$2:$A$2000=""C2"")*(RASTREABILIDADE!$F$2:$F$2000=""Sim"")*REGEXMATCH(RASTREABILIDADE!$E$2:$E$2000,""(^|[^A-Za-z0-9])""&amp;$B181&amp;""($|[^A-Za-z0-9])"")*(((RESUMO!$B$5=""Todas"")+(RASTREABILIDADE!$C$2:$C$2000="&amp;"RESUMO!$B$5))&gt;0)*(((RESUMO!$B$6=""Todas"")+(RASTREABILIDADE!$B$2:$B$2000=RESUMO!$B$6))&gt;0))&gt;0,1,0))"),"")</f>
        <v/>
      </c>
      <c r="H181" s="47" t="str">
        <f>IF(OR($C181="",$D181&lt;&gt;"Sim"),"",IF(COUNTIFS(RASTREABILIDADE!$A:$A,"C0",RASTREABILIDADE!$G:$G,$C181,RASTREABILIDADE!$H:$H,"Sim",RASTREABILIDADE!$C:$C,IF(RESUMO!$B$5="Todas","&lt;&gt;",RESUMO!$B$5),RASTREABILIDADE!$B:$B,IF(RESUMO!$B$6="Todas","&lt;&gt;",RESUMO!$B$6))&gt;0,1,0))</f>
        <v/>
      </c>
      <c r="I181" s="47" t="str">
        <f>IF(OR($C181="",$D181&lt;&gt;"Sim"),"",IF(COUNTIFS(RASTREABILIDADE!$A:$A,"C1",RASTREABILIDADE!$G:$G,$C181,RASTREABILIDADE!$H:$H,"Sim",RASTREABILIDADE!$C:$C,IF(RESUMO!$B$5="Todas","&lt;&gt;",RESUMO!$B$5),RASTREABILIDADE!$B:$B,IF(RESUMO!$B$6="Todas","&lt;&gt;",RESUMO!$B$6))&gt;0,1,0))</f>
        <v/>
      </c>
      <c r="J181" s="47" t="str">
        <f>IF(OR($C181="",$D181&lt;&gt;"Sim"),"",IF(COUNTIFS(RASTREABILIDADE!$A:$A,"C2",RASTREABILIDADE!$G:$G,$C181,RASTREABILIDADE!$H:$H,"Sim",RASTREABILIDADE!$C:$C,IF(RESUMO!$B$5="Todas","&lt;&gt;",RESUMO!$B$5),RASTREABILIDADE!$B:$B,IF(RESUMO!$B$6="Todas","&lt;&gt;",RESUMO!$B$6))&gt;0,1,0))</f>
        <v/>
      </c>
    </row>
    <row r="182" ht="15.75" customHeight="1">
      <c r="A182" s="47">
        <v>182.0</v>
      </c>
      <c r="B182" s="47" t="str">
        <f>IF(GABARITO!$B183="","",IF(COUNTIF(GABARITO!$B$4:$B183,GABARITO!$B183)=1,GABARITO!$B183,""))</f>
        <v/>
      </c>
      <c r="C182" s="47" t="str">
        <f>IF(GABARITO!$G183="","",GABARITO!$G183)</f>
        <v/>
      </c>
      <c r="D182" s="47" t="str">
        <f>IF(GABARITO!$J183="","",GABARITO!$J183)</f>
        <v/>
      </c>
      <c r="E182" s="47" t="str">
        <f>IFERROR(__xludf.DUMMYFUNCTION("IF($B182="""","""",IF(SUMPRODUCT((RASTREABILIDADE!$A$2:$A$2000=""C0"")*(RASTREABILIDADE!$F$2:$F$2000=""Sim"")*REGEXMATCH(RASTREABILIDADE!$E$2:$E$2000,""(^|[^A-Za-z0-9])""&amp;$B182&amp;""($|[^A-Za-z0-9])"")*(((RESUMO!$B$5=""Todas"")+(RASTREABILIDADE!$C$2:$C$2000="&amp;"RESUMO!$B$5))&gt;0)*(((RESUMO!$B$6=""Todas"")+(RASTREABILIDADE!$B$2:$B$2000=RESUMO!$B$6))&gt;0))&gt;0,1,0))"),"")</f>
        <v/>
      </c>
      <c r="F182" s="47" t="str">
        <f>IFERROR(__xludf.DUMMYFUNCTION("IF($B182="""","""",IF(SUMPRODUCT((RASTREABILIDADE!$A$2:$A$2000=""C1"")*(RASTREABILIDADE!$F$2:$F$2000=""Sim"")*REGEXMATCH(RASTREABILIDADE!$E$2:$E$2000,""(^|[^A-Za-z0-9])""&amp;$B182&amp;""($|[^A-Za-z0-9])"")*(((RESUMO!$B$5=""Todas"")+(RASTREABILIDADE!$C$2:$C$2000="&amp;"RESUMO!$B$5))&gt;0)*(((RESUMO!$B$6=""Todas"")+(RASTREABILIDADE!$B$2:$B$2000=RESUMO!$B$6))&gt;0))&gt;0,1,0))"),"")</f>
        <v/>
      </c>
      <c r="G182" s="47" t="str">
        <f>IFERROR(__xludf.DUMMYFUNCTION("IF($B182="""","""",IF(SUMPRODUCT((RASTREABILIDADE!$A$2:$A$2000=""C2"")*(RASTREABILIDADE!$F$2:$F$2000=""Sim"")*REGEXMATCH(RASTREABILIDADE!$E$2:$E$2000,""(^|[^A-Za-z0-9])""&amp;$B182&amp;""($|[^A-Za-z0-9])"")*(((RESUMO!$B$5=""Todas"")+(RASTREABILIDADE!$C$2:$C$2000="&amp;"RESUMO!$B$5))&gt;0)*(((RESUMO!$B$6=""Todas"")+(RASTREABILIDADE!$B$2:$B$2000=RESUMO!$B$6))&gt;0))&gt;0,1,0))"),"")</f>
        <v/>
      </c>
      <c r="H182" s="47" t="str">
        <f>IF(OR($C182="",$D182&lt;&gt;"Sim"),"",IF(COUNTIFS(RASTREABILIDADE!$A:$A,"C0",RASTREABILIDADE!$G:$G,$C182,RASTREABILIDADE!$H:$H,"Sim",RASTREABILIDADE!$C:$C,IF(RESUMO!$B$5="Todas","&lt;&gt;",RESUMO!$B$5),RASTREABILIDADE!$B:$B,IF(RESUMO!$B$6="Todas","&lt;&gt;",RESUMO!$B$6))&gt;0,1,0))</f>
        <v/>
      </c>
      <c r="I182" s="47" t="str">
        <f>IF(OR($C182="",$D182&lt;&gt;"Sim"),"",IF(COUNTIFS(RASTREABILIDADE!$A:$A,"C1",RASTREABILIDADE!$G:$G,$C182,RASTREABILIDADE!$H:$H,"Sim",RASTREABILIDADE!$C:$C,IF(RESUMO!$B$5="Todas","&lt;&gt;",RESUMO!$B$5),RASTREABILIDADE!$B:$B,IF(RESUMO!$B$6="Todas","&lt;&gt;",RESUMO!$B$6))&gt;0,1,0))</f>
        <v/>
      </c>
      <c r="J182" s="47" t="str">
        <f>IF(OR($C182="",$D182&lt;&gt;"Sim"),"",IF(COUNTIFS(RASTREABILIDADE!$A:$A,"C2",RASTREABILIDADE!$G:$G,$C182,RASTREABILIDADE!$H:$H,"Sim",RASTREABILIDADE!$C:$C,IF(RESUMO!$B$5="Todas","&lt;&gt;",RESUMO!$B$5),RASTREABILIDADE!$B:$B,IF(RESUMO!$B$6="Todas","&lt;&gt;",RESUMO!$B$6))&gt;0,1,0))</f>
        <v/>
      </c>
    </row>
    <row r="183" ht="15.75" customHeight="1">
      <c r="A183" s="47">
        <v>183.0</v>
      </c>
      <c r="B183" s="47" t="str">
        <f>IF(GABARITO!$B184="","",IF(COUNTIF(GABARITO!$B$4:$B184,GABARITO!$B184)=1,GABARITO!$B184,""))</f>
        <v/>
      </c>
      <c r="C183" s="47" t="str">
        <f>IF(GABARITO!$G184="","",GABARITO!$G184)</f>
        <v/>
      </c>
      <c r="D183" s="47" t="str">
        <f>IF(GABARITO!$J184="","",GABARITO!$J184)</f>
        <v/>
      </c>
      <c r="E183" s="47" t="str">
        <f>IFERROR(__xludf.DUMMYFUNCTION("IF($B183="""","""",IF(SUMPRODUCT((RASTREABILIDADE!$A$2:$A$2000=""C0"")*(RASTREABILIDADE!$F$2:$F$2000=""Sim"")*REGEXMATCH(RASTREABILIDADE!$E$2:$E$2000,""(^|[^A-Za-z0-9])""&amp;$B183&amp;""($|[^A-Za-z0-9])"")*(((RESUMO!$B$5=""Todas"")+(RASTREABILIDADE!$C$2:$C$2000="&amp;"RESUMO!$B$5))&gt;0)*(((RESUMO!$B$6=""Todas"")+(RASTREABILIDADE!$B$2:$B$2000=RESUMO!$B$6))&gt;0))&gt;0,1,0))"),"")</f>
        <v/>
      </c>
      <c r="F183" s="47" t="str">
        <f>IFERROR(__xludf.DUMMYFUNCTION("IF($B183="""","""",IF(SUMPRODUCT((RASTREABILIDADE!$A$2:$A$2000=""C1"")*(RASTREABILIDADE!$F$2:$F$2000=""Sim"")*REGEXMATCH(RASTREABILIDADE!$E$2:$E$2000,""(^|[^A-Za-z0-9])""&amp;$B183&amp;""($|[^A-Za-z0-9])"")*(((RESUMO!$B$5=""Todas"")+(RASTREABILIDADE!$C$2:$C$2000="&amp;"RESUMO!$B$5))&gt;0)*(((RESUMO!$B$6=""Todas"")+(RASTREABILIDADE!$B$2:$B$2000=RESUMO!$B$6))&gt;0))&gt;0,1,0))"),"")</f>
        <v/>
      </c>
      <c r="G183" s="47" t="str">
        <f>IFERROR(__xludf.DUMMYFUNCTION("IF($B183="""","""",IF(SUMPRODUCT((RASTREABILIDADE!$A$2:$A$2000=""C2"")*(RASTREABILIDADE!$F$2:$F$2000=""Sim"")*REGEXMATCH(RASTREABILIDADE!$E$2:$E$2000,""(^|[^A-Za-z0-9])""&amp;$B183&amp;""($|[^A-Za-z0-9])"")*(((RESUMO!$B$5=""Todas"")+(RASTREABILIDADE!$C$2:$C$2000="&amp;"RESUMO!$B$5))&gt;0)*(((RESUMO!$B$6=""Todas"")+(RASTREABILIDADE!$B$2:$B$2000=RESUMO!$B$6))&gt;0))&gt;0,1,0))"),"")</f>
        <v/>
      </c>
      <c r="H183" s="47" t="str">
        <f>IF(OR($C183="",$D183&lt;&gt;"Sim"),"",IF(COUNTIFS(RASTREABILIDADE!$A:$A,"C0",RASTREABILIDADE!$G:$G,$C183,RASTREABILIDADE!$H:$H,"Sim",RASTREABILIDADE!$C:$C,IF(RESUMO!$B$5="Todas","&lt;&gt;",RESUMO!$B$5),RASTREABILIDADE!$B:$B,IF(RESUMO!$B$6="Todas","&lt;&gt;",RESUMO!$B$6))&gt;0,1,0))</f>
        <v/>
      </c>
      <c r="I183" s="47" t="str">
        <f>IF(OR($C183="",$D183&lt;&gt;"Sim"),"",IF(COUNTIFS(RASTREABILIDADE!$A:$A,"C1",RASTREABILIDADE!$G:$G,$C183,RASTREABILIDADE!$H:$H,"Sim",RASTREABILIDADE!$C:$C,IF(RESUMO!$B$5="Todas","&lt;&gt;",RESUMO!$B$5),RASTREABILIDADE!$B:$B,IF(RESUMO!$B$6="Todas","&lt;&gt;",RESUMO!$B$6))&gt;0,1,0))</f>
        <v/>
      </c>
      <c r="J183" s="47" t="str">
        <f>IF(OR($C183="",$D183&lt;&gt;"Sim"),"",IF(COUNTIFS(RASTREABILIDADE!$A:$A,"C2",RASTREABILIDADE!$G:$G,$C183,RASTREABILIDADE!$H:$H,"Sim",RASTREABILIDADE!$C:$C,IF(RESUMO!$B$5="Todas","&lt;&gt;",RESUMO!$B$5),RASTREABILIDADE!$B:$B,IF(RESUMO!$B$6="Todas","&lt;&gt;",RESUMO!$B$6))&gt;0,1,0))</f>
        <v/>
      </c>
    </row>
    <row r="184" ht="15.75" customHeight="1">
      <c r="A184" s="47">
        <v>184.0</v>
      </c>
      <c r="B184" s="47" t="str">
        <f>IF(GABARITO!$B185="","",IF(COUNTIF(GABARITO!$B$4:$B185,GABARITO!$B185)=1,GABARITO!$B185,""))</f>
        <v/>
      </c>
      <c r="C184" s="47" t="str">
        <f>IF(GABARITO!$G185="","",GABARITO!$G185)</f>
        <v/>
      </c>
      <c r="D184" s="47" t="str">
        <f>IF(GABARITO!$J185="","",GABARITO!$J185)</f>
        <v/>
      </c>
      <c r="E184" s="47" t="str">
        <f>IFERROR(__xludf.DUMMYFUNCTION("IF($B184="""","""",IF(SUMPRODUCT((RASTREABILIDADE!$A$2:$A$2000=""C0"")*(RASTREABILIDADE!$F$2:$F$2000=""Sim"")*REGEXMATCH(RASTREABILIDADE!$E$2:$E$2000,""(^|[^A-Za-z0-9])""&amp;$B184&amp;""($|[^A-Za-z0-9])"")*(((RESUMO!$B$5=""Todas"")+(RASTREABILIDADE!$C$2:$C$2000="&amp;"RESUMO!$B$5))&gt;0)*(((RESUMO!$B$6=""Todas"")+(RASTREABILIDADE!$B$2:$B$2000=RESUMO!$B$6))&gt;0))&gt;0,1,0))"),"")</f>
        <v/>
      </c>
      <c r="F184" s="47" t="str">
        <f>IFERROR(__xludf.DUMMYFUNCTION("IF($B184="""","""",IF(SUMPRODUCT((RASTREABILIDADE!$A$2:$A$2000=""C1"")*(RASTREABILIDADE!$F$2:$F$2000=""Sim"")*REGEXMATCH(RASTREABILIDADE!$E$2:$E$2000,""(^|[^A-Za-z0-9])""&amp;$B184&amp;""($|[^A-Za-z0-9])"")*(((RESUMO!$B$5=""Todas"")+(RASTREABILIDADE!$C$2:$C$2000="&amp;"RESUMO!$B$5))&gt;0)*(((RESUMO!$B$6=""Todas"")+(RASTREABILIDADE!$B$2:$B$2000=RESUMO!$B$6))&gt;0))&gt;0,1,0))"),"")</f>
        <v/>
      </c>
      <c r="G184" s="47" t="str">
        <f>IFERROR(__xludf.DUMMYFUNCTION("IF($B184="""","""",IF(SUMPRODUCT((RASTREABILIDADE!$A$2:$A$2000=""C2"")*(RASTREABILIDADE!$F$2:$F$2000=""Sim"")*REGEXMATCH(RASTREABILIDADE!$E$2:$E$2000,""(^|[^A-Za-z0-9])""&amp;$B184&amp;""($|[^A-Za-z0-9])"")*(((RESUMO!$B$5=""Todas"")+(RASTREABILIDADE!$C$2:$C$2000="&amp;"RESUMO!$B$5))&gt;0)*(((RESUMO!$B$6=""Todas"")+(RASTREABILIDADE!$B$2:$B$2000=RESUMO!$B$6))&gt;0))&gt;0,1,0))"),"")</f>
        <v/>
      </c>
      <c r="H184" s="47" t="str">
        <f>IF(OR($C184="",$D184&lt;&gt;"Sim"),"",IF(COUNTIFS(RASTREABILIDADE!$A:$A,"C0",RASTREABILIDADE!$G:$G,$C184,RASTREABILIDADE!$H:$H,"Sim",RASTREABILIDADE!$C:$C,IF(RESUMO!$B$5="Todas","&lt;&gt;",RESUMO!$B$5),RASTREABILIDADE!$B:$B,IF(RESUMO!$B$6="Todas","&lt;&gt;",RESUMO!$B$6))&gt;0,1,0))</f>
        <v/>
      </c>
      <c r="I184" s="47" t="str">
        <f>IF(OR($C184="",$D184&lt;&gt;"Sim"),"",IF(COUNTIFS(RASTREABILIDADE!$A:$A,"C1",RASTREABILIDADE!$G:$G,$C184,RASTREABILIDADE!$H:$H,"Sim",RASTREABILIDADE!$C:$C,IF(RESUMO!$B$5="Todas","&lt;&gt;",RESUMO!$B$5),RASTREABILIDADE!$B:$B,IF(RESUMO!$B$6="Todas","&lt;&gt;",RESUMO!$B$6))&gt;0,1,0))</f>
        <v/>
      </c>
      <c r="J184" s="47" t="str">
        <f>IF(OR($C184="",$D184&lt;&gt;"Sim"),"",IF(COUNTIFS(RASTREABILIDADE!$A:$A,"C2",RASTREABILIDADE!$G:$G,$C184,RASTREABILIDADE!$H:$H,"Sim",RASTREABILIDADE!$C:$C,IF(RESUMO!$B$5="Todas","&lt;&gt;",RESUMO!$B$5),RASTREABILIDADE!$B:$B,IF(RESUMO!$B$6="Todas","&lt;&gt;",RESUMO!$B$6))&gt;0,1,0))</f>
        <v/>
      </c>
    </row>
    <row r="185" ht="15.75" customHeight="1">
      <c r="A185" s="47">
        <v>185.0</v>
      </c>
      <c r="B185" s="47" t="str">
        <f>IF(GABARITO!$B186="","",IF(COUNTIF(GABARITO!$B$4:$B186,GABARITO!$B186)=1,GABARITO!$B186,""))</f>
        <v/>
      </c>
      <c r="C185" s="47" t="str">
        <f>IF(GABARITO!$G186="","",GABARITO!$G186)</f>
        <v/>
      </c>
      <c r="D185" s="47" t="str">
        <f>IF(GABARITO!$J186="","",GABARITO!$J186)</f>
        <v/>
      </c>
      <c r="E185" s="47" t="str">
        <f>IFERROR(__xludf.DUMMYFUNCTION("IF($B185="""","""",IF(SUMPRODUCT((RASTREABILIDADE!$A$2:$A$2000=""C0"")*(RASTREABILIDADE!$F$2:$F$2000=""Sim"")*REGEXMATCH(RASTREABILIDADE!$E$2:$E$2000,""(^|[^A-Za-z0-9])""&amp;$B185&amp;""($|[^A-Za-z0-9])"")*(((RESUMO!$B$5=""Todas"")+(RASTREABILIDADE!$C$2:$C$2000="&amp;"RESUMO!$B$5))&gt;0)*(((RESUMO!$B$6=""Todas"")+(RASTREABILIDADE!$B$2:$B$2000=RESUMO!$B$6))&gt;0))&gt;0,1,0))"),"")</f>
        <v/>
      </c>
      <c r="F185" s="47" t="str">
        <f>IFERROR(__xludf.DUMMYFUNCTION("IF($B185="""","""",IF(SUMPRODUCT((RASTREABILIDADE!$A$2:$A$2000=""C1"")*(RASTREABILIDADE!$F$2:$F$2000=""Sim"")*REGEXMATCH(RASTREABILIDADE!$E$2:$E$2000,""(^|[^A-Za-z0-9])""&amp;$B185&amp;""($|[^A-Za-z0-9])"")*(((RESUMO!$B$5=""Todas"")+(RASTREABILIDADE!$C$2:$C$2000="&amp;"RESUMO!$B$5))&gt;0)*(((RESUMO!$B$6=""Todas"")+(RASTREABILIDADE!$B$2:$B$2000=RESUMO!$B$6))&gt;0))&gt;0,1,0))"),"")</f>
        <v/>
      </c>
      <c r="G185" s="47" t="str">
        <f>IFERROR(__xludf.DUMMYFUNCTION("IF($B185="""","""",IF(SUMPRODUCT((RASTREABILIDADE!$A$2:$A$2000=""C2"")*(RASTREABILIDADE!$F$2:$F$2000=""Sim"")*REGEXMATCH(RASTREABILIDADE!$E$2:$E$2000,""(^|[^A-Za-z0-9])""&amp;$B185&amp;""($|[^A-Za-z0-9])"")*(((RESUMO!$B$5=""Todas"")+(RASTREABILIDADE!$C$2:$C$2000="&amp;"RESUMO!$B$5))&gt;0)*(((RESUMO!$B$6=""Todas"")+(RASTREABILIDADE!$B$2:$B$2000=RESUMO!$B$6))&gt;0))&gt;0,1,0))"),"")</f>
        <v/>
      </c>
      <c r="H185" s="47" t="str">
        <f>IF(OR($C185="",$D185&lt;&gt;"Sim"),"",IF(COUNTIFS(RASTREABILIDADE!$A:$A,"C0",RASTREABILIDADE!$G:$G,$C185,RASTREABILIDADE!$H:$H,"Sim",RASTREABILIDADE!$C:$C,IF(RESUMO!$B$5="Todas","&lt;&gt;",RESUMO!$B$5),RASTREABILIDADE!$B:$B,IF(RESUMO!$B$6="Todas","&lt;&gt;",RESUMO!$B$6))&gt;0,1,0))</f>
        <v/>
      </c>
      <c r="I185" s="47" t="str">
        <f>IF(OR($C185="",$D185&lt;&gt;"Sim"),"",IF(COUNTIFS(RASTREABILIDADE!$A:$A,"C1",RASTREABILIDADE!$G:$G,$C185,RASTREABILIDADE!$H:$H,"Sim",RASTREABILIDADE!$C:$C,IF(RESUMO!$B$5="Todas","&lt;&gt;",RESUMO!$B$5),RASTREABILIDADE!$B:$B,IF(RESUMO!$B$6="Todas","&lt;&gt;",RESUMO!$B$6))&gt;0,1,0))</f>
        <v/>
      </c>
      <c r="J185" s="47" t="str">
        <f>IF(OR($C185="",$D185&lt;&gt;"Sim"),"",IF(COUNTIFS(RASTREABILIDADE!$A:$A,"C2",RASTREABILIDADE!$G:$G,$C185,RASTREABILIDADE!$H:$H,"Sim",RASTREABILIDADE!$C:$C,IF(RESUMO!$B$5="Todas","&lt;&gt;",RESUMO!$B$5),RASTREABILIDADE!$B:$B,IF(RESUMO!$B$6="Todas","&lt;&gt;",RESUMO!$B$6))&gt;0,1,0))</f>
        <v/>
      </c>
    </row>
    <row r="186" ht="15.75" customHeight="1">
      <c r="A186" s="47">
        <v>186.0</v>
      </c>
      <c r="B186" s="47" t="str">
        <f>IF(GABARITO!$B187="","",IF(COUNTIF(GABARITO!$B$4:$B187,GABARITO!$B187)=1,GABARITO!$B187,""))</f>
        <v/>
      </c>
      <c r="C186" s="47" t="str">
        <f>IF(GABARITO!$G187="","",GABARITO!$G187)</f>
        <v/>
      </c>
      <c r="D186" s="47" t="str">
        <f>IF(GABARITO!$J187="","",GABARITO!$J187)</f>
        <v/>
      </c>
      <c r="E186" s="47" t="str">
        <f>IFERROR(__xludf.DUMMYFUNCTION("IF($B186="""","""",IF(SUMPRODUCT((RASTREABILIDADE!$A$2:$A$2000=""C0"")*(RASTREABILIDADE!$F$2:$F$2000=""Sim"")*REGEXMATCH(RASTREABILIDADE!$E$2:$E$2000,""(^|[^A-Za-z0-9])""&amp;$B186&amp;""($|[^A-Za-z0-9])"")*(((RESUMO!$B$5=""Todas"")+(RASTREABILIDADE!$C$2:$C$2000="&amp;"RESUMO!$B$5))&gt;0)*(((RESUMO!$B$6=""Todas"")+(RASTREABILIDADE!$B$2:$B$2000=RESUMO!$B$6))&gt;0))&gt;0,1,0))"),"")</f>
        <v/>
      </c>
      <c r="F186" s="47" t="str">
        <f>IFERROR(__xludf.DUMMYFUNCTION("IF($B186="""","""",IF(SUMPRODUCT((RASTREABILIDADE!$A$2:$A$2000=""C1"")*(RASTREABILIDADE!$F$2:$F$2000=""Sim"")*REGEXMATCH(RASTREABILIDADE!$E$2:$E$2000,""(^|[^A-Za-z0-9])""&amp;$B186&amp;""($|[^A-Za-z0-9])"")*(((RESUMO!$B$5=""Todas"")+(RASTREABILIDADE!$C$2:$C$2000="&amp;"RESUMO!$B$5))&gt;0)*(((RESUMO!$B$6=""Todas"")+(RASTREABILIDADE!$B$2:$B$2000=RESUMO!$B$6))&gt;0))&gt;0,1,0))"),"")</f>
        <v/>
      </c>
      <c r="G186" s="47" t="str">
        <f>IFERROR(__xludf.DUMMYFUNCTION("IF($B186="""","""",IF(SUMPRODUCT((RASTREABILIDADE!$A$2:$A$2000=""C2"")*(RASTREABILIDADE!$F$2:$F$2000=""Sim"")*REGEXMATCH(RASTREABILIDADE!$E$2:$E$2000,""(^|[^A-Za-z0-9])""&amp;$B186&amp;""($|[^A-Za-z0-9])"")*(((RESUMO!$B$5=""Todas"")+(RASTREABILIDADE!$C$2:$C$2000="&amp;"RESUMO!$B$5))&gt;0)*(((RESUMO!$B$6=""Todas"")+(RASTREABILIDADE!$B$2:$B$2000=RESUMO!$B$6))&gt;0))&gt;0,1,0))"),"")</f>
        <v/>
      </c>
      <c r="H186" s="47" t="str">
        <f>IF(OR($C186="",$D186&lt;&gt;"Sim"),"",IF(COUNTIFS(RASTREABILIDADE!$A:$A,"C0",RASTREABILIDADE!$G:$G,$C186,RASTREABILIDADE!$H:$H,"Sim",RASTREABILIDADE!$C:$C,IF(RESUMO!$B$5="Todas","&lt;&gt;",RESUMO!$B$5),RASTREABILIDADE!$B:$B,IF(RESUMO!$B$6="Todas","&lt;&gt;",RESUMO!$B$6))&gt;0,1,0))</f>
        <v/>
      </c>
      <c r="I186" s="47" t="str">
        <f>IF(OR($C186="",$D186&lt;&gt;"Sim"),"",IF(COUNTIFS(RASTREABILIDADE!$A:$A,"C1",RASTREABILIDADE!$G:$G,$C186,RASTREABILIDADE!$H:$H,"Sim",RASTREABILIDADE!$C:$C,IF(RESUMO!$B$5="Todas","&lt;&gt;",RESUMO!$B$5),RASTREABILIDADE!$B:$B,IF(RESUMO!$B$6="Todas","&lt;&gt;",RESUMO!$B$6))&gt;0,1,0))</f>
        <v/>
      </c>
      <c r="J186" s="47" t="str">
        <f>IF(OR($C186="",$D186&lt;&gt;"Sim"),"",IF(COUNTIFS(RASTREABILIDADE!$A:$A,"C2",RASTREABILIDADE!$G:$G,$C186,RASTREABILIDADE!$H:$H,"Sim",RASTREABILIDADE!$C:$C,IF(RESUMO!$B$5="Todas","&lt;&gt;",RESUMO!$B$5),RASTREABILIDADE!$B:$B,IF(RESUMO!$B$6="Todas","&lt;&gt;",RESUMO!$B$6))&gt;0,1,0))</f>
        <v/>
      </c>
    </row>
    <row r="187" ht="15.75" customHeight="1">
      <c r="A187" s="47">
        <v>187.0</v>
      </c>
      <c r="B187" s="47" t="str">
        <f>IF(GABARITO!$B188="","",IF(COUNTIF(GABARITO!$B$4:$B188,GABARITO!$B188)=1,GABARITO!$B188,""))</f>
        <v/>
      </c>
      <c r="C187" s="47" t="str">
        <f>IF(GABARITO!$G188="","",GABARITO!$G188)</f>
        <v/>
      </c>
      <c r="D187" s="47" t="str">
        <f>IF(GABARITO!$J188="","",GABARITO!$J188)</f>
        <v/>
      </c>
      <c r="E187" s="47" t="str">
        <f>IFERROR(__xludf.DUMMYFUNCTION("IF($B187="""","""",IF(SUMPRODUCT((RASTREABILIDADE!$A$2:$A$2000=""C0"")*(RASTREABILIDADE!$F$2:$F$2000=""Sim"")*REGEXMATCH(RASTREABILIDADE!$E$2:$E$2000,""(^|[^A-Za-z0-9])""&amp;$B187&amp;""($|[^A-Za-z0-9])"")*(((RESUMO!$B$5=""Todas"")+(RASTREABILIDADE!$C$2:$C$2000="&amp;"RESUMO!$B$5))&gt;0)*(((RESUMO!$B$6=""Todas"")+(RASTREABILIDADE!$B$2:$B$2000=RESUMO!$B$6))&gt;0))&gt;0,1,0))"),"")</f>
        <v/>
      </c>
      <c r="F187" s="47" t="str">
        <f>IFERROR(__xludf.DUMMYFUNCTION("IF($B187="""","""",IF(SUMPRODUCT((RASTREABILIDADE!$A$2:$A$2000=""C1"")*(RASTREABILIDADE!$F$2:$F$2000=""Sim"")*REGEXMATCH(RASTREABILIDADE!$E$2:$E$2000,""(^|[^A-Za-z0-9])""&amp;$B187&amp;""($|[^A-Za-z0-9])"")*(((RESUMO!$B$5=""Todas"")+(RASTREABILIDADE!$C$2:$C$2000="&amp;"RESUMO!$B$5))&gt;0)*(((RESUMO!$B$6=""Todas"")+(RASTREABILIDADE!$B$2:$B$2000=RESUMO!$B$6))&gt;0))&gt;0,1,0))"),"")</f>
        <v/>
      </c>
      <c r="G187" s="47" t="str">
        <f>IFERROR(__xludf.DUMMYFUNCTION("IF($B187="""","""",IF(SUMPRODUCT((RASTREABILIDADE!$A$2:$A$2000=""C2"")*(RASTREABILIDADE!$F$2:$F$2000=""Sim"")*REGEXMATCH(RASTREABILIDADE!$E$2:$E$2000,""(^|[^A-Za-z0-9])""&amp;$B187&amp;""($|[^A-Za-z0-9])"")*(((RESUMO!$B$5=""Todas"")+(RASTREABILIDADE!$C$2:$C$2000="&amp;"RESUMO!$B$5))&gt;0)*(((RESUMO!$B$6=""Todas"")+(RASTREABILIDADE!$B$2:$B$2000=RESUMO!$B$6))&gt;0))&gt;0,1,0))"),"")</f>
        <v/>
      </c>
      <c r="H187" s="47" t="str">
        <f>IF(OR($C187="",$D187&lt;&gt;"Sim"),"",IF(COUNTIFS(RASTREABILIDADE!$A:$A,"C0",RASTREABILIDADE!$G:$G,$C187,RASTREABILIDADE!$H:$H,"Sim",RASTREABILIDADE!$C:$C,IF(RESUMO!$B$5="Todas","&lt;&gt;",RESUMO!$B$5),RASTREABILIDADE!$B:$B,IF(RESUMO!$B$6="Todas","&lt;&gt;",RESUMO!$B$6))&gt;0,1,0))</f>
        <v/>
      </c>
      <c r="I187" s="47" t="str">
        <f>IF(OR($C187="",$D187&lt;&gt;"Sim"),"",IF(COUNTIFS(RASTREABILIDADE!$A:$A,"C1",RASTREABILIDADE!$G:$G,$C187,RASTREABILIDADE!$H:$H,"Sim",RASTREABILIDADE!$C:$C,IF(RESUMO!$B$5="Todas","&lt;&gt;",RESUMO!$B$5),RASTREABILIDADE!$B:$B,IF(RESUMO!$B$6="Todas","&lt;&gt;",RESUMO!$B$6))&gt;0,1,0))</f>
        <v/>
      </c>
      <c r="J187" s="47" t="str">
        <f>IF(OR($C187="",$D187&lt;&gt;"Sim"),"",IF(COUNTIFS(RASTREABILIDADE!$A:$A,"C2",RASTREABILIDADE!$G:$G,$C187,RASTREABILIDADE!$H:$H,"Sim",RASTREABILIDADE!$C:$C,IF(RESUMO!$B$5="Todas","&lt;&gt;",RESUMO!$B$5),RASTREABILIDADE!$B:$B,IF(RESUMO!$B$6="Todas","&lt;&gt;",RESUMO!$B$6))&gt;0,1,0))</f>
        <v/>
      </c>
    </row>
    <row r="188" ht="15.75" customHeight="1">
      <c r="A188" s="47">
        <v>188.0</v>
      </c>
      <c r="B188" s="47" t="str">
        <f>IF(GABARITO!$B189="","",IF(COUNTIF(GABARITO!$B$4:$B189,GABARITO!$B189)=1,GABARITO!$B189,""))</f>
        <v/>
      </c>
      <c r="C188" s="47" t="str">
        <f>IF(GABARITO!$G189="","",GABARITO!$G189)</f>
        <v/>
      </c>
      <c r="D188" s="47" t="str">
        <f>IF(GABARITO!$J189="","",GABARITO!$J189)</f>
        <v/>
      </c>
      <c r="E188" s="47" t="str">
        <f>IFERROR(__xludf.DUMMYFUNCTION("IF($B188="""","""",IF(SUMPRODUCT((RASTREABILIDADE!$A$2:$A$2000=""C0"")*(RASTREABILIDADE!$F$2:$F$2000=""Sim"")*REGEXMATCH(RASTREABILIDADE!$E$2:$E$2000,""(^|[^A-Za-z0-9])""&amp;$B188&amp;""($|[^A-Za-z0-9])"")*(((RESUMO!$B$5=""Todas"")+(RASTREABILIDADE!$C$2:$C$2000="&amp;"RESUMO!$B$5))&gt;0)*(((RESUMO!$B$6=""Todas"")+(RASTREABILIDADE!$B$2:$B$2000=RESUMO!$B$6))&gt;0))&gt;0,1,0))"),"")</f>
        <v/>
      </c>
      <c r="F188" s="47" t="str">
        <f>IFERROR(__xludf.DUMMYFUNCTION("IF($B188="""","""",IF(SUMPRODUCT((RASTREABILIDADE!$A$2:$A$2000=""C1"")*(RASTREABILIDADE!$F$2:$F$2000=""Sim"")*REGEXMATCH(RASTREABILIDADE!$E$2:$E$2000,""(^|[^A-Za-z0-9])""&amp;$B188&amp;""($|[^A-Za-z0-9])"")*(((RESUMO!$B$5=""Todas"")+(RASTREABILIDADE!$C$2:$C$2000="&amp;"RESUMO!$B$5))&gt;0)*(((RESUMO!$B$6=""Todas"")+(RASTREABILIDADE!$B$2:$B$2000=RESUMO!$B$6))&gt;0))&gt;0,1,0))"),"")</f>
        <v/>
      </c>
      <c r="G188" s="47" t="str">
        <f>IFERROR(__xludf.DUMMYFUNCTION("IF($B188="""","""",IF(SUMPRODUCT((RASTREABILIDADE!$A$2:$A$2000=""C2"")*(RASTREABILIDADE!$F$2:$F$2000=""Sim"")*REGEXMATCH(RASTREABILIDADE!$E$2:$E$2000,""(^|[^A-Za-z0-9])""&amp;$B188&amp;""($|[^A-Za-z0-9])"")*(((RESUMO!$B$5=""Todas"")+(RASTREABILIDADE!$C$2:$C$2000="&amp;"RESUMO!$B$5))&gt;0)*(((RESUMO!$B$6=""Todas"")+(RASTREABILIDADE!$B$2:$B$2000=RESUMO!$B$6))&gt;0))&gt;0,1,0))"),"")</f>
        <v/>
      </c>
      <c r="H188" s="47" t="str">
        <f>IF(OR($C188="",$D188&lt;&gt;"Sim"),"",IF(COUNTIFS(RASTREABILIDADE!$A:$A,"C0",RASTREABILIDADE!$G:$G,$C188,RASTREABILIDADE!$H:$H,"Sim",RASTREABILIDADE!$C:$C,IF(RESUMO!$B$5="Todas","&lt;&gt;",RESUMO!$B$5),RASTREABILIDADE!$B:$B,IF(RESUMO!$B$6="Todas","&lt;&gt;",RESUMO!$B$6))&gt;0,1,0))</f>
        <v/>
      </c>
      <c r="I188" s="47" t="str">
        <f>IF(OR($C188="",$D188&lt;&gt;"Sim"),"",IF(COUNTIFS(RASTREABILIDADE!$A:$A,"C1",RASTREABILIDADE!$G:$G,$C188,RASTREABILIDADE!$H:$H,"Sim",RASTREABILIDADE!$C:$C,IF(RESUMO!$B$5="Todas","&lt;&gt;",RESUMO!$B$5),RASTREABILIDADE!$B:$B,IF(RESUMO!$B$6="Todas","&lt;&gt;",RESUMO!$B$6))&gt;0,1,0))</f>
        <v/>
      </c>
      <c r="J188" s="47" t="str">
        <f>IF(OR($C188="",$D188&lt;&gt;"Sim"),"",IF(COUNTIFS(RASTREABILIDADE!$A:$A,"C2",RASTREABILIDADE!$G:$G,$C188,RASTREABILIDADE!$H:$H,"Sim",RASTREABILIDADE!$C:$C,IF(RESUMO!$B$5="Todas","&lt;&gt;",RESUMO!$B$5),RASTREABILIDADE!$B:$B,IF(RESUMO!$B$6="Todas","&lt;&gt;",RESUMO!$B$6))&gt;0,1,0))</f>
        <v/>
      </c>
    </row>
    <row r="189" ht="15.75" customHeight="1">
      <c r="A189" s="47">
        <v>189.0</v>
      </c>
      <c r="B189" s="47" t="str">
        <f>IF(GABARITO!$B190="","",IF(COUNTIF(GABARITO!$B$4:$B190,GABARITO!$B190)=1,GABARITO!$B190,""))</f>
        <v/>
      </c>
      <c r="C189" s="47" t="str">
        <f>IF(GABARITO!$G190="","",GABARITO!$G190)</f>
        <v/>
      </c>
      <c r="D189" s="47" t="str">
        <f>IF(GABARITO!$J190="","",GABARITO!$J190)</f>
        <v/>
      </c>
      <c r="E189" s="47" t="str">
        <f>IFERROR(__xludf.DUMMYFUNCTION("IF($B189="""","""",IF(SUMPRODUCT((RASTREABILIDADE!$A$2:$A$2000=""C0"")*(RASTREABILIDADE!$F$2:$F$2000=""Sim"")*REGEXMATCH(RASTREABILIDADE!$E$2:$E$2000,""(^|[^A-Za-z0-9])""&amp;$B189&amp;""($|[^A-Za-z0-9])"")*(((RESUMO!$B$5=""Todas"")+(RASTREABILIDADE!$C$2:$C$2000="&amp;"RESUMO!$B$5))&gt;0)*(((RESUMO!$B$6=""Todas"")+(RASTREABILIDADE!$B$2:$B$2000=RESUMO!$B$6))&gt;0))&gt;0,1,0))"),"")</f>
        <v/>
      </c>
      <c r="F189" s="47" t="str">
        <f>IFERROR(__xludf.DUMMYFUNCTION("IF($B189="""","""",IF(SUMPRODUCT((RASTREABILIDADE!$A$2:$A$2000=""C1"")*(RASTREABILIDADE!$F$2:$F$2000=""Sim"")*REGEXMATCH(RASTREABILIDADE!$E$2:$E$2000,""(^|[^A-Za-z0-9])""&amp;$B189&amp;""($|[^A-Za-z0-9])"")*(((RESUMO!$B$5=""Todas"")+(RASTREABILIDADE!$C$2:$C$2000="&amp;"RESUMO!$B$5))&gt;0)*(((RESUMO!$B$6=""Todas"")+(RASTREABILIDADE!$B$2:$B$2000=RESUMO!$B$6))&gt;0))&gt;0,1,0))"),"")</f>
        <v/>
      </c>
      <c r="G189" s="47" t="str">
        <f>IFERROR(__xludf.DUMMYFUNCTION("IF($B189="""","""",IF(SUMPRODUCT((RASTREABILIDADE!$A$2:$A$2000=""C2"")*(RASTREABILIDADE!$F$2:$F$2000=""Sim"")*REGEXMATCH(RASTREABILIDADE!$E$2:$E$2000,""(^|[^A-Za-z0-9])""&amp;$B189&amp;""($|[^A-Za-z0-9])"")*(((RESUMO!$B$5=""Todas"")+(RASTREABILIDADE!$C$2:$C$2000="&amp;"RESUMO!$B$5))&gt;0)*(((RESUMO!$B$6=""Todas"")+(RASTREABILIDADE!$B$2:$B$2000=RESUMO!$B$6))&gt;0))&gt;0,1,0))"),"")</f>
        <v/>
      </c>
      <c r="H189" s="47" t="str">
        <f>IF(OR($C189="",$D189&lt;&gt;"Sim"),"",IF(COUNTIFS(RASTREABILIDADE!$A:$A,"C0",RASTREABILIDADE!$G:$G,$C189,RASTREABILIDADE!$H:$H,"Sim",RASTREABILIDADE!$C:$C,IF(RESUMO!$B$5="Todas","&lt;&gt;",RESUMO!$B$5),RASTREABILIDADE!$B:$B,IF(RESUMO!$B$6="Todas","&lt;&gt;",RESUMO!$B$6))&gt;0,1,0))</f>
        <v/>
      </c>
      <c r="I189" s="47" t="str">
        <f>IF(OR($C189="",$D189&lt;&gt;"Sim"),"",IF(COUNTIFS(RASTREABILIDADE!$A:$A,"C1",RASTREABILIDADE!$G:$G,$C189,RASTREABILIDADE!$H:$H,"Sim",RASTREABILIDADE!$C:$C,IF(RESUMO!$B$5="Todas","&lt;&gt;",RESUMO!$B$5),RASTREABILIDADE!$B:$B,IF(RESUMO!$B$6="Todas","&lt;&gt;",RESUMO!$B$6))&gt;0,1,0))</f>
        <v/>
      </c>
      <c r="J189" s="47" t="str">
        <f>IF(OR($C189="",$D189&lt;&gt;"Sim"),"",IF(COUNTIFS(RASTREABILIDADE!$A:$A,"C2",RASTREABILIDADE!$G:$G,$C189,RASTREABILIDADE!$H:$H,"Sim",RASTREABILIDADE!$C:$C,IF(RESUMO!$B$5="Todas","&lt;&gt;",RESUMO!$B$5),RASTREABILIDADE!$B:$B,IF(RESUMO!$B$6="Todas","&lt;&gt;",RESUMO!$B$6))&gt;0,1,0))</f>
        <v/>
      </c>
    </row>
    <row r="190" ht="15.75" customHeight="1">
      <c r="A190" s="47">
        <v>190.0</v>
      </c>
      <c r="B190" s="47" t="str">
        <f>IF(GABARITO!$B191="","",IF(COUNTIF(GABARITO!$B$4:$B191,GABARITO!$B191)=1,GABARITO!$B191,""))</f>
        <v/>
      </c>
      <c r="C190" s="47" t="str">
        <f>IF(GABARITO!$G191="","",GABARITO!$G191)</f>
        <v/>
      </c>
      <c r="D190" s="47" t="str">
        <f>IF(GABARITO!$J191="","",GABARITO!$J191)</f>
        <v/>
      </c>
      <c r="E190" s="47" t="str">
        <f>IFERROR(__xludf.DUMMYFUNCTION("IF($B190="""","""",IF(SUMPRODUCT((RASTREABILIDADE!$A$2:$A$2000=""C0"")*(RASTREABILIDADE!$F$2:$F$2000=""Sim"")*REGEXMATCH(RASTREABILIDADE!$E$2:$E$2000,""(^|[^A-Za-z0-9])""&amp;$B190&amp;""($|[^A-Za-z0-9])"")*(((RESUMO!$B$5=""Todas"")+(RASTREABILIDADE!$C$2:$C$2000="&amp;"RESUMO!$B$5))&gt;0)*(((RESUMO!$B$6=""Todas"")+(RASTREABILIDADE!$B$2:$B$2000=RESUMO!$B$6))&gt;0))&gt;0,1,0))"),"")</f>
        <v/>
      </c>
      <c r="F190" s="47" t="str">
        <f>IFERROR(__xludf.DUMMYFUNCTION("IF($B190="""","""",IF(SUMPRODUCT((RASTREABILIDADE!$A$2:$A$2000=""C1"")*(RASTREABILIDADE!$F$2:$F$2000=""Sim"")*REGEXMATCH(RASTREABILIDADE!$E$2:$E$2000,""(^|[^A-Za-z0-9])""&amp;$B190&amp;""($|[^A-Za-z0-9])"")*(((RESUMO!$B$5=""Todas"")+(RASTREABILIDADE!$C$2:$C$2000="&amp;"RESUMO!$B$5))&gt;0)*(((RESUMO!$B$6=""Todas"")+(RASTREABILIDADE!$B$2:$B$2000=RESUMO!$B$6))&gt;0))&gt;0,1,0))"),"")</f>
        <v/>
      </c>
      <c r="G190" s="47" t="str">
        <f>IFERROR(__xludf.DUMMYFUNCTION("IF($B190="""","""",IF(SUMPRODUCT((RASTREABILIDADE!$A$2:$A$2000=""C2"")*(RASTREABILIDADE!$F$2:$F$2000=""Sim"")*REGEXMATCH(RASTREABILIDADE!$E$2:$E$2000,""(^|[^A-Za-z0-9])""&amp;$B190&amp;""($|[^A-Za-z0-9])"")*(((RESUMO!$B$5=""Todas"")+(RASTREABILIDADE!$C$2:$C$2000="&amp;"RESUMO!$B$5))&gt;0)*(((RESUMO!$B$6=""Todas"")+(RASTREABILIDADE!$B$2:$B$2000=RESUMO!$B$6))&gt;0))&gt;0,1,0))"),"")</f>
        <v/>
      </c>
      <c r="H190" s="47" t="str">
        <f>IF(OR($C190="",$D190&lt;&gt;"Sim"),"",IF(COUNTIFS(RASTREABILIDADE!$A:$A,"C0",RASTREABILIDADE!$G:$G,$C190,RASTREABILIDADE!$H:$H,"Sim",RASTREABILIDADE!$C:$C,IF(RESUMO!$B$5="Todas","&lt;&gt;",RESUMO!$B$5),RASTREABILIDADE!$B:$B,IF(RESUMO!$B$6="Todas","&lt;&gt;",RESUMO!$B$6))&gt;0,1,0))</f>
        <v/>
      </c>
      <c r="I190" s="47" t="str">
        <f>IF(OR($C190="",$D190&lt;&gt;"Sim"),"",IF(COUNTIFS(RASTREABILIDADE!$A:$A,"C1",RASTREABILIDADE!$G:$G,$C190,RASTREABILIDADE!$H:$H,"Sim",RASTREABILIDADE!$C:$C,IF(RESUMO!$B$5="Todas","&lt;&gt;",RESUMO!$B$5),RASTREABILIDADE!$B:$B,IF(RESUMO!$B$6="Todas","&lt;&gt;",RESUMO!$B$6))&gt;0,1,0))</f>
        <v/>
      </c>
      <c r="J190" s="47" t="str">
        <f>IF(OR($C190="",$D190&lt;&gt;"Sim"),"",IF(COUNTIFS(RASTREABILIDADE!$A:$A,"C2",RASTREABILIDADE!$G:$G,$C190,RASTREABILIDADE!$H:$H,"Sim",RASTREABILIDADE!$C:$C,IF(RESUMO!$B$5="Todas","&lt;&gt;",RESUMO!$B$5),RASTREABILIDADE!$B:$B,IF(RESUMO!$B$6="Todas","&lt;&gt;",RESUMO!$B$6))&gt;0,1,0))</f>
        <v/>
      </c>
    </row>
    <row r="191" ht="15.75" customHeight="1">
      <c r="A191" s="47">
        <v>191.0</v>
      </c>
      <c r="B191" s="47" t="str">
        <f>IF(GABARITO!$B192="","",IF(COUNTIF(GABARITO!$B$4:$B192,GABARITO!$B192)=1,GABARITO!$B192,""))</f>
        <v/>
      </c>
      <c r="C191" s="47" t="str">
        <f>IF(GABARITO!$G192="","",GABARITO!$G192)</f>
        <v/>
      </c>
      <c r="D191" s="47" t="str">
        <f>IF(GABARITO!$J192="","",GABARITO!$J192)</f>
        <v/>
      </c>
      <c r="E191" s="47" t="str">
        <f>IFERROR(__xludf.DUMMYFUNCTION("IF($B191="""","""",IF(SUMPRODUCT((RASTREABILIDADE!$A$2:$A$2000=""C0"")*(RASTREABILIDADE!$F$2:$F$2000=""Sim"")*REGEXMATCH(RASTREABILIDADE!$E$2:$E$2000,""(^|[^A-Za-z0-9])""&amp;$B191&amp;""($|[^A-Za-z0-9])"")*(((RESUMO!$B$5=""Todas"")+(RASTREABILIDADE!$C$2:$C$2000="&amp;"RESUMO!$B$5))&gt;0)*(((RESUMO!$B$6=""Todas"")+(RASTREABILIDADE!$B$2:$B$2000=RESUMO!$B$6))&gt;0))&gt;0,1,0))"),"")</f>
        <v/>
      </c>
      <c r="F191" s="47" t="str">
        <f>IFERROR(__xludf.DUMMYFUNCTION("IF($B191="""","""",IF(SUMPRODUCT((RASTREABILIDADE!$A$2:$A$2000=""C1"")*(RASTREABILIDADE!$F$2:$F$2000=""Sim"")*REGEXMATCH(RASTREABILIDADE!$E$2:$E$2000,""(^|[^A-Za-z0-9])""&amp;$B191&amp;""($|[^A-Za-z0-9])"")*(((RESUMO!$B$5=""Todas"")+(RASTREABILIDADE!$C$2:$C$2000="&amp;"RESUMO!$B$5))&gt;0)*(((RESUMO!$B$6=""Todas"")+(RASTREABILIDADE!$B$2:$B$2000=RESUMO!$B$6))&gt;0))&gt;0,1,0))"),"")</f>
        <v/>
      </c>
      <c r="G191" s="47" t="str">
        <f>IFERROR(__xludf.DUMMYFUNCTION("IF($B191="""","""",IF(SUMPRODUCT((RASTREABILIDADE!$A$2:$A$2000=""C2"")*(RASTREABILIDADE!$F$2:$F$2000=""Sim"")*REGEXMATCH(RASTREABILIDADE!$E$2:$E$2000,""(^|[^A-Za-z0-9])""&amp;$B191&amp;""($|[^A-Za-z0-9])"")*(((RESUMO!$B$5=""Todas"")+(RASTREABILIDADE!$C$2:$C$2000="&amp;"RESUMO!$B$5))&gt;0)*(((RESUMO!$B$6=""Todas"")+(RASTREABILIDADE!$B$2:$B$2000=RESUMO!$B$6))&gt;0))&gt;0,1,0))"),"")</f>
        <v/>
      </c>
      <c r="H191" s="47" t="str">
        <f>IF(OR($C191="",$D191&lt;&gt;"Sim"),"",IF(COUNTIFS(RASTREABILIDADE!$A:$A,"C0",RASTREABILIDADE!$G:$G,$C191,RASTREABILIDADE!$H:$H,"Sim",RASTREABILIDADE!$C:$C,IF(RESUMO!$B$5="Todas","&lt;&gt;",RESUMO!$B$5),RASTREABILIDADE!$B:$B,IF(RESUMO!$B$6="Todas","&lt;&gt;",RESUMO!$B$6))&gt;0,1,0))</f>
        <v/>
      </c>
      <c r="I191" s="47" t="str">
        <f>IF(OR($C191="",$D191&lt;&gt;"Sim"),"",IF(COUNTIFS(RASTREABILIDADE!$A:$A,"C1",RASTREABILIDADE!$G:$G,$C191,RASTREABILIDADE!$H:$H,"Sim",RASTREABILIDADE!$C:$C,IF(RESUMO!$B$5="Todas","&lt;&gt;",RESUMO!$B$5),RASTREABILIDADE!$B:$B,IF(RESUMO!$B$6="Todas","&lt;&gt;",RESUMO!$B$6))&gt;0,1,0))</f>
        <v/>
      </c>
      <c r="J191" s="47" t="str">
        <f>IF(OR($C191="",$D191&lt;&gt;"Sim"),"",IF(COUNTIFS(RASTREABILIDADE!$A:$A,"C2",RASTREABILIDADE!$G:$G,$C191,RASTREABILIDADE!$H:$H,"Sim",RASTREABILIDADE!$C:$C,IF(RESUMO!$B$5="Todas","&lt;&gt;",RESUMO!$B$5),RASTREABILIDADE!$B:$B,IF(RESUMO!$B$6="Todas","&lt;&gt;",RESUMO!$B$6))&gt;0,1,0))</f>
        <v/>
      </c>
    </row>
    <row r="192" ht="15.75" customHeight="1">
      <c r="A192" s="47">
        <v>192.0</v>
      </c>
      <c r="B192" s="47" t="str">
        <f>IF(GABARITO!$B193="","",IF(COUNTIF(GABARITO!$B$4:$B193,GABARITO!$B193)=1,GABARITO!$B193,""))</f>
        <v/>
      </c>
      <c r="C192" s="47" t="str">
        <f>IF(GABARITO!$G193="","",GABARITO!$G193)</f>
        <v/>
      </c>
      <c r="D192" s="47" t="str">
        <f>IF(GABARITO!$J193="","",GABARITO!$J193)</f>
        <v/>
      </c>
      <c r="E192" s="47" t="str">
        <f>IFERROR(__xludf.DUMMYFUNCTION("IF($B192="""","""",IF(SUMPRODUCT((RASTREABILIDADE!$A$2:$A$2000=""C0"")*(RASTREABILIDADE!$F$2:$F$2000=""Sim"")*REGEXMATCH(RASTREABILIDADE!$E$2:$E$2000,""(^|[^A-Za-z0-9])""&amp;$B192&amp;""($|[^A-Za-z0-9])"")*(((RESUMO!$B$5=""Todas"")+(RASTREABILIDADE!$C$2:$C$2000="&amp;"RESUMO!$B$5))&gt;0)*(((RESUMO!$B$6=""Todas"")+(RASTREABILIDADE!$B$2:$B$2000=RESUMO!$B$6))&gt;0))&gt;0,1,0))"),"")</f>
        <v/>
      </c>
      <c r="F192" s="47" t="str">
        <f>IFERROR(__xludf.DUMMYFUNCTION("IF($B192="""","""",IF(SUMPRODUCT((RASTREABILIDADE!$A$2:$A$2000=""C1"")*(RASTREABILIDADE!$F$2:$F$2000=""Sim"")*REGEXMATCH(RASTREABILIDADE!$E$2:$E$2000,""(^|[^A-Za-z0-9])""&amp;$B192&amp;""($|[^A-Za-z0-9])"")*(((RESUMO!$B$5=""Todas"")+(RASTREABILIDADE!$C$2:$C$2000="&amp;"RESUMO!$B$5))&gt;0)*(((RESUMO!$B$6=""Todas"")+(RASTREABILIDADE!$B$2:$B$2000=RESUMO!$B$6))&gt;0))&gt;0,1,0))"),"")</f>
        <v/>
      </c>
      <c r="G192" s="47" t="str">
        <f>IFERROR(__xludf.DUMMYFUNCTION("IF($B192="""","""",IF(SUMPRODUCT((RASTREABILIDADE!$A$2:$A$2000=""C2"")*(RASTREABILIDADE!$F$2:$F$2000=""Sim"")*REGEXMATCH(RASTREABILIDADE!$E$2:$E$2000,""(^|[^A-Za-z0-9])""&amp;$B192&amp;""($|[^A-Za-z0-9])"")*(((RESUMO!$B$5=""Todas"")+(RASTREABILIDADE!$C$2:$C$2000="&amp;"RESUMO!$B$5))&gt;0)*(((RESUMO!$B$6=""Todas"")+(RASTREABILIDADE!$B$2:$B$2000=RESUMO!$B$6))&gt;0))&gt;0,1,0))"),"")</f>
        <v/>
      </c>
      <c r="H192" s="47" t="str">
        <f>IF(OR($C192="",$D192&lt;&gt;"Sim"),"",IF(COUNTIFS(RASTREABILIDADE!$A:$A,"C0",RASTREABILIDADE!$G:$G,$C192,RASTREABILIDADE!$H:$H,"Sim",RASTREABILIDADE!$C:$C,IF(RESUMO!$B$5="Todas","&lt;&gt;",RESUMO!$B$5),RASTREABILIDADE!$B:$B,IF(RESUMO!$B$6="Todas","&lt;&gt;",RESUMO!$B$6))&gt;0,1,0))</f>
        <v/>
      </c>
      <c r="I192" s="47" t="str">
        <f>IF(OR($C192="",$D192&lt;&gt;"Sim"),"",IF(COUNTIFS(RASTREABILIDADE!$A:$A,"C1",RASTREABILIDADE!$G:$G,$C192,RASTREABILIDADE!$H:$H,"Sim",RASTREABILIDADE!$C:$C,IF(RESUMO!$B$5="Todas","&lt;&gt;",RESUMO!$B$5),RASTREABILIDADE!$B:$B,IF(RESUMO!$B$6="Todas","&lt;&gt;",RESUMO!$B$6))&gt;0,1,0))</f>
        <v/>
      </c>
      <c r="J192" s="47" t="str">
        <f>IF(OR($C192="",$D192&lt;&gt;"Sim"),"",IF(COUNTIFS(RASTREABILIDADE!$A:$A,"C2",RASTREABILIDADE!$G:$G,$C192,RASTREABILIDADE!$H:$H,"Sim",RASTREABILIDADE!$C:$C,IF(RESUMO!$B$5="Todas","&lt;&gt;",RESUMO!$B$5),RASTREABILIDADE!$B:$B,IF(RESUMO!$B$6="Todas","&lt;&gt;",RESUMO!$B$6))&gt;0,1,0))</f>
        <v/>
      </c>
    </row>
    <row r="193" ht="15.75" customHeight="1">
      <c r="A193" s="47">
        <v>193.0</v>
      </c>
      <c r="B193" s="47" t="str">
        <f>IF(GABARITO!$B194="","",IF(COUNTIF(GABARITO!$B$4:$B194,GABARITO!$B194)=1,GABARITO!$B194,""))</f>
        <v/>
      </c>
      <c r="C193" s="47" t="str">
        <f>IF(GABARITO!$G194="","",GABARITO!$G194)</f>
        <v/>
      </c>
      <c r="D193" s="47" t="str">
        <f>IF(GABARITO!$J194="","",GABARITO!$J194)</f>
        <v/>
      </c>
      <c r="E193" s="47" t="str">
        <f>IFERROR(__xludf.DUMMYFUNCTION("IF($B193="""","""",IF(SUMPRODUCT((RASTREABILIDADE!$A$2:$A$2000=""C0"")*(RASTREABILIDADE!$F$2:$F$2000=""Sim"")*REGEXMATCH(RASTREABILIDADE!$E$2:$E$2000,""(^|[^A-Za-z0-9])""&amp;$B193&amp;""($|[^A-Za-z0-9])"")*(((RESUMO!$B$5=""Todas"")+(RASTREABILIDADE!$C$2:$C$2000="&amp;"RESUMO!$B$5))&gt;0)*(((RESUMO!$B$6=""Todas"")+(RASTREABILIDADE!$B$2:$B$2000=RESUMO!$B$6))&gt;0))&gt;0,1,0))"),"")</f>
        <v/>
      </c>
      <c r="F193" s="47" t="str">
        <f>IFERROR(__xludf.DUMMYFUNCTION("IF($B193="""","""",IF(SUMPRODUCT((RASTREABILIDADE!$A$2:$A$2000=""C1"")*(RASTREABILIDADE!$F$2:$F$2000=""Sim"")*REGEXMATCH(RASTREABILIDADE!$E$2:$E$2000,""(^|[^A-Za-z0-9])""&amp;$B193&amp;""($|[^A-Za-z0-9])"")*(((RESUMO!$B$5=""Todas"")+(RASTREABILIDADE!$C$2:$C$2000="&amp;"RESUMO!$B$5))&gt;0)*(((RESUMO!$B$6=""Todas"")+(RASTREABILIDADE!$B$2:$B$2000=RESUMO!$B$6))&gt;0))&gt;0,1,0))"),"")</f>
        <v/>
      </c>
      <c r="G193" s="47" t="str">
        <f>IFERROR(__xludf.DUMMYFUNCTION("IF($B193="""","""",IF(SUMPRODUCT((RASTREABILIDADE!$A$2:$A$2000=""C2"")*(RASTREABILIDADE!$F$2:$F$2000=""Sim"")*REGEXMATCH(RASTREABILIDADE!$E$2:$E$2000,""(^|[^A-Za-z0-9])""&amp;$B193&amp;""($|[^A-Za-z0-9])"")*(((RESUMO!$B$5=""Todas"")+(RASTREABILIDADE!$C$2:$C$2000="&amp;"RESUMO!$B$5))&gt;0)*(((RESUMO!$B$6=""Todas"")+(RASTREABILIDADE!$B$2:$B$2000=RESUMO!$B$6))&gt;0))&gt;0,1,0))"),"")</f>
        <v/>
      </c>
      <c r="H193" s="47" t="str">
        <f>IF(OR($C193="",$D193&lt;&gt;"Sim"),"",IF(COUNTIFS(RASTREABILIDADE!$A:$A,"C0",RASTREABILIDADE!$G:$G,$C193,RASTREABILIDADE!$H:$H,"Sim",RASTREABILIDADE!$C:$C,IF(RESUMO!$B$5="Todas","&lt;&gt;",RESUMO!$B$5),RASTREABILIDADE!$B:$B,IF(RESUMO!$B$6="Todas","&lt;&gt;",RESUMO!$B$6))&gt;0,1,0))</f>
        <v/>
      </c>
      <c r="I193" s="47" t="str">
        <f>IF(OR($C193="",$D193&lt;&gt;"Sim"),"",IF(COUNTIFS(RASTREABILIDADE!$A:$A,"C1",RASTREABILIDADE!$G:$G,$C193,RASTREABILIDADE!$H:$H,"Sim",RASTREABILIDADE!$C:$C,IF(RESUMO!$B$5="Todas","&lt;&gt;",RESUMO!$B$5),RASTREABILIDADE!$B:$B,IF(RESUMO!$B$6="Todas","&lt;&gt;",RESUMO!$B$6))&gt;0,1,0))</f>
        <v/>
      </c>
      <c r="J193" s="47" t="str">
        <f>IF(OR($C193="",$D193&lt;&gt;"Sim"),"",IF(COUNTIFS(RASTREABILIDADE!$A:$A,"C2",RASTREABILIDADE!$G:$G,$C193,RASTREABILIDADE!$H:$H,"Sim",RASTREABILIDADE!$C:$C,IF(RESUMO!$B$5="Todas","&lt;&gt;",RESUMO!$B$5),RASTREABILIDADE!$B:$B,IF(RESUMO!$B$6="Todas","&lt;&gt;",RESUMO!$B$6))&gt;0,1,0))</f>
        <v/>
      </c>
    </row>
    <row r="194" ht="15.75" customHeight="1">
      <c r="A194" s="47">
        <v>194.0</v>
      </c>
      <c r="B194" s="47" t="str">
        <f>IF(GABARITO!$B195="","",IF(COUNTIF(GABARITO!$B$4:$B195,GABARITO!$B195)=1,GABARITO!$B195,""))</f>
        <v/>
      </c>
      <c r="C194" s="47" t="str">
        <f>IF(GABARITO!$G195="","",GABARITO!$G195)</f>
        <v/>
      </c>
      <c r="D194" s="47" t="str">
        <f>IF(GABARITO!$J195="","",GABARITO!$J195)</f>
        <v/>
      </c>
      <c r="E194" s="47" t="str">
        <f>IFERROR(__xludf.DUMMYFUNCTION("IF($B194="""","""",IF(SUMPRODUCT((RASTREABILIDADE!$A$2:$A$2000=""C0"")*(RASTREABILIDADE!$F$2:$F$2000=""Sim"")*REGEXMATCH(RASTREABILIDADE!$E$2:$E$2000,""(^|[^A-Za-z0-9])""&amp;$B194&amp;""($|[^A-Za-z0-9])"")*(((RESUMO!$B$5=""Todas"")+(RASTREABILIDADE!$C$2:$C$2000="&amp;"RESUMO!$B$5))&gt;0)*(((RESUMO!$B$6=""Todas"")+(RASTREABILIDADE!$B$2:$B$2000=RESUMO!$B$6))&gt;0))&gt;0,1,0))"),"")</f>
        <v/>
      </c>
      <c r="F194" s="47" t="str">
        <f>IFERROR(__xludf.DUMMYFUNCTION("IF($B194="""","""",IF(SUMPRODUCT((RASTREABILIDADE!$A$2:$A$2000=""C1"")*(RASTREABILIDADE!$F$2:$F$2000=""Sim"")*REGEXMATCH(RASTREABILIDADE!$E$2:$E$2000,""(^|[^A-Za-z0-9])""&amp;$B194&amp;""($|[^A-Za-z0-9])"")*(((RESUMO!$B$5=""Todas"")+(RASTREABILIDADE!$C$2:$C$2000="&amp;"RESUMO!$B$5))&gt;0)*(((RESUMO!$B$6=""Todas"")+(RASTREABILIDADE!$B$2:$B$2000=RESUMO!$B$6))&gt;0))&gt;0,1,0))"),"")</f>
        <v/>
      </c>
      <c r="G194" s="47" t="str">
        <f>IFERROR(__xludf.DUMMYFUNCTION("IF($B194="""","""",IF(SUMPRODUCT((RASTREABILIDADE!$A$2:$A$2000=""C2"")*(RASTREABILIDADE!$F$2:$F$2000=""Sim"")*REGEXMATCH(RASTREABILIDADE!$E$2:$E$2000,""(^|[^A-Za-z0-9])""&amp;$B194&amp;""($|[^A-Za-z0-9])"")*(((RESUMO!$B$5=""Todas"")+(RASTREABILIDADE!$C$2:$C$2000="&amp;"RESUMO!$B$5))&gt;0)*(((RESUMO!$B$6=""Todas"")+(RASTREABILIDADE!$B$2:$B$2000=RESUMO!$B$6))&gt;0))&gt;0,1,0))"),"")</f>
        <v/>
      </c>
      <c r="H194" s="47" t="str">
        <f>IF(OR($C194="",$D194&lt;&gt;"Sim"),"",IF(COUNTIFS(RASTREABILIDADE!$A:$A,"C0",RASTREABILIDADE!$G:$G,$C194,RASTREABILIDADE!$H:$H,"Sim",RASTREABILIDADE!$C:$C,IF(RESUMO!$B$5="Todas","&lt;&gt;",RESUMO!$B$5),RASTREABILIDADE!$B:$B,IF(RESUMO!$B$6="Todas","&lt;&gt;",RESUMO!$B$6))&gt;0,1,0))</f>
        <v/>
      </c>
      <c r="I194" s="47" t="str">
        <f>IF(OR($C194="",$D194&lt;&gt;"Sim"),"",IF(COUNTIFS(RASTREABILIDADE!$A:$A,"C1",RASTREABILIDADE!$G:$G,$C194,RASTREABILIDADE!$H:$H,"Sim",RASTREABILIDADE!$C:$C,IF(RESUMO!$B$5="Todas","&lt;&gt;",RESUMO!$B$5),RASTREABILIDADE!$B:$B,IF(RESUMO!$B$6="Todas","&lt;&gt;",RESUMO!$B$6))&gt;0,1,0))</f>
        <v/>
      </c>
      <c r="J194" s="47" t="str">
        <f>IF(OR($C194="",$D194&lt;&gt;"Sim"),"",IF(COUNTIFS(RASTREABILIDADE!$A:$A,"C2",RASTREABILIDADE!$G:$G,$C194,RASTREABILIDADE!$H:$H,"Sim",RASTREABILIDADE!$C:$C,IF(RESUMO!$B$5="Todas","&lt;&gt;",RESUMO!$B$5),RASTREABILIDADE!$B:$B,IF(RESUMO!$B$6="Todas","&lt;&gt;",RESUMO!$B$6))&gt;0,1,0))</f>
        <v/>
      </c>
    </row>
    <row r="195" ht="15.75" customHeight="1">
      <c r="A195" s="47">
        <v>195.0</v>
      </c>
      <c r="B195" s="47" t="str">
        <f>IF(GABARITO!$B196="","",IF(COUNTIF(GABARITO!$B$4:$B196,GABARITO!$B196)=1,GABARITO!$B196,""))</f>
        <v/>
      </c>
      <c r="C195" s="47" t="str">
        <f>IF(GABARITO!$G196="","",GABARITO!$G196)</f>
        <v/>
      </c>
      <c r="D195" s="47" t="str">
        <f>IF(GABARITO!$J196="","",GABARITO!$J196)</f>
        <v/>
      </c>
      <c r="E195" s="47" t="str">
        <f>IFERROR(__xludf.DUMMYFUNCTION("IF($B195="""","""",IF(SUMPRODUCT((RASTREABILIDADE!$A$2:$A$2000=""C0"")*(RASTREABILIDADE!$F$2:$F$2000=""Sim"")*REGEXMATCH(RASTREABILIDADE!$E$2:$E$2000,""(^|[^A-Za-z0-9])""&amp;$B195&amp;""($|[^A-Za-z0-9])"")*(((RESUMO!$B$5=""Todas"")+(RASTREABILIDADE!$C$2:$C$2000="&amp;"RESUMO!$B$5))&gt;0)*(((RESUMO!$B$6=""Todas"")+(RASTREABILIDADE!$B$2:$B$2000=RESUMO!$B$6))&gt;0))&gt;0,1,0))"),"")</f>
        <v/>
      </c>
      <c r="F195" s="47" t="str">
        <f>IFERROR(__xludf.DUMMYFUNCTION("IF($B195="""","""",IF(SUMPRODUCT((RASTREABILIDADE!$A$2:$A$2000=""C1"")*(RASTREABILIDADE!$F$2:$F$2000=""Sim"")*REGEXMATCH(RASTREABILIDADE!$E$2:$E$2000,""(^|[^A-Za-z0-9])""&amp;$B195&amp;""($|[^A-Za-z0-9])"")*(((RESUMO!$B$5=""Todas"")+(RASTREABILIDADE!$C$2:$C$2000="&amp;"RESUMO!$B$5))&gt;0)*(((RESUMO!$B$6=""Todas"")+(RASTREABILIDADE!$B$2:$B$2000=RESUMO!$B$6))&gt;0))&gt;0,1,0))"),"")</f>
        <v/>
      </c>
      <c r="G195" s="47" t="str">
        <f>IFERROR(__xludf.DUMMYFUNCTION("IF($B195="""","""",IF(SUMPRODUCT((RASTREABILIDADE!$A$2:$A$2000=""C2"")*(RASTREABILIDADE!$F$2:$F$2000=""Sim"")*REGEXMATCH(RASTREABILIDADE!$E$2:$E$2000,""(^|[^A-Za-z0-9])""&amp;$B195&amp;""($|[^A-Za-z0-9])"")*(((RESUMO!$B$5=""Todas"")+(RASTREABILIDADE!$C$2:$C$2000="&amp;"RESUMO!$B$5))&gt;0)*(((RESUMO!$B$6=""Todas"")+(RASTREABILIDADE!$B$2:$B$2000=RESUMO!$B$6))&gt;0))&gt;0,1,0))"),"")</f>
        <v/>
      </c>
      <c r="H195" s="47" t="str">
        <f>IF(OR($C195="",$D195&lt;&gt;"Sim"),"",IF(COUNTIFS(RASTREABILIDADE!$A:$A,"C0",RASTREABILIDADE!$G:$G,$C195,RASTREABILIDADE!$H:$H,"Sim",RASTREABILIDADE!$C:$C,IF(RESUMO!$B$5="Todas","&lt;&gt;",RESUMO!$B$5),RASTREABILIDADE!$B:$B,IF(RESUMO!$B$6="Todas","&lt;&gt;",RESUMO!$B$6))&gt;0,1,0))</f>
        <v/>
      </c>
      <c r="I195" s="47" t="str">
        <f>IF(OR($C195="",$D195&lt;&gt;"Sim"),"",IF(COUNTIFS(RASTREABILIDADE!$A:$A,"C1",RASTREABILIDADE!$G:$G,$C195,RASTREABILIDADE!$H:$H,"Sim",RASTREABILIDADE!$C:$C,IF(RESUMO!$B$5="Todas","&lt;&gt;",RESUMO!$B$5),RASTREABILIDADE!$B:$B,IF(RESUMO!$B$6="Todas","&lt;&gt;",RESUMO!$B$6))&gt;0,1,0))</f>
        <v/>
      </c>
      <c r="J195" s="47" t="str">
        <f>IF(OR($C195="",$D195&lt;&gt;"Sim"),"",IF(COUNTIFS(RASTREABILIDADE!$A:$A,"C2",RASTREABILIDADE!$G:$G,$C195,RASTREABILIDADE!$H:$H,"Sim",RASTREABILIDADE!$C:$C,IF(RESUMO!$B$5="Todas","&lt;&gt;",RESUMO!$B$5),RASTREABILIDADE!$B:$B,IF(RESUMO!$B$6="Todas","&lt;&gt;",RESUMO!$B$6))&gt;0,1,0))</f>
        <v/>
      </c>
    </row>
    <row r="196" ht="15.75" customHeight="1">
      <c r="A196" s="47">
        <v>196.0</v>
      </c>
      <c r="B196" s="47" t="str">
        <f>IF(GABARITO!$B197="","",IF(COUNTIF(GABARITO!$B$4:$B197,GABARITO!$B197)=1,GABARITO!$B197,""))</f>
        <v/>
      </c>
      <c r="C196" s="47" t="str">
        <f>IF(GABARITO!$G197="","",GABARITO!$G197)</f>
        <v/>
      </c>
      <c r="D196" s="47" t="str">
        <f>IF(GABARITO!$J197="","",GABARITO!$J197)</f>
        <v/>
      </c>
      <c r="E196" s="47" t="str">
        <f>IFERROR(__xludf.DUMMYFUNCTION("IF($B196="""","""",IF(SUMPRODUCT((RASTREABILIDADE!$A$2:$A$2000=""C0"")*(RASTREABILIDADE!$F$2:$F$2000=""Sim"")*REGEXMATCH(RASTREABILIDADE!$E$2:$E$2000,""(^|[^A-Za-z0-9])""&amp;$B196&amp;""($|[^A-Za-z0-9])"")*(((RESUMO!$B$5=""Todas"")+(RASTREABILIDADE!$C$2:$C$2000="&amp;"RESUMO!$B$5))&gt;0)*(((RESUMO!$B$6=""Todas"")+(RASTREABILIDADE!$B$2:$B$2000=RESUMO!$B$6))&gt;0))&gt;0,1,0))"),"")</f>
        <v/>
      </c>
      <c r="F196" s="47" t="str">
        <f>IFERROR(__xludf.DUMMYFUNCTION("IF($B196="""","""",IF(SUMPRODUCT((RASTREABILIDADE!$A$2:$A$2000=""C1"")*(RASTREABILIDADE!$F$2:$F$2000=""Sim"")*REGEXMATCH(RASTREABILIDADE!$E$2:$E$2000,""(^|[^A-Za-z0-9])""&amp;$B196&amp;""($|[^A-Za-z0-9])"")*(((RESUMO!$B$5=""Todas"")+(RASTREABILIDADE!$C$2:$C$2000="&amp;"RESUMO!$B$5))&gt;0)*(((RESUMO!$B$6=""Todas"")+(RASTREABILIDADE!$B$2:$B$2000=RESUMO!$B$6))&gt;0))&gt;0,1,0))"),"")</f>
        <v/>
      </c>
      <c r="G196" s="47" t="str">
        <f>IFERROR(__xludf.DUMMYFUNCTION("IF($B196="""","""",IF(SUMPRODUCT((RASTREABILIDADE!$A$2:$A$2000=""C2"")*(RASTREABILIDADE!$F$2:$F$2000=""Sim"")*REGEXMATCH(RASTREABILIDADE!$E$2:$E$2000,""(^|[^A-Za-z0-9])""&amp;$B196&amp;""($|[^A-Za-z0-9])"")*(((RESUMO!$B$5=""Todas"")+(RASTREABILIDADE!$C$2:$C$2000="&amp;"RESUMO!$B$5))&gt;0)*(((RESUMO!$B$6=""Todas"")+(RASTREABILIDADE!$B$2:$B$2000=RESUMO!$B$6))&gt;0))&gt;0,1,0))"),"")</f>
        <v/>
      </c>
      <c r="H196" s="47" t="str">
        <f>IF(OR($C196="",$D196&lt;&gt;"Sim"),"",IF(COUNTIFS(RASTREABILIDADE!$A:$A,"C0",RASTREABILIDADE!$G:$G,$C196,RASTREABILIDADE!$H:$H,"Sim",RASTREABILIDADE!$C:$C,IF(RESUMO!$B$5="Todas","&lt;&gt;",RESUMO!$B$5),RASTREABILIDADE!$B:$B,IF(RESUMO!$B$6="Todas","&lt;&gt;",RESUMO!$B$6))&gt;0,1,0))</f>
        <v/>
      </c>
      <c r="I196" s="47" t="str">
        <f>IF(OR($C196="",$D196&lt;&gt;"Sim"),"",IF(COUNTIFS(RASTREABILIDADE!$A:$A,"C1",RASTREABILIDADE!$G:$G,$C196,RASTREABILIDADE!$H:$H,"Sim",RASTREABILIDADE!$C:$C,IF(RESUMO!$B$5="Todas","&lt;&gt;",RESUMO!$B$5),RASTREABILIDADE!$B:$B,IF(RESUMO!$B$6="Todas","&lt;&gt;",RESUMO!$B$6))&gt;0,1,0))</f>
        <v/>
      </c>
      <c r="J196" s="47" t="str">
        <f>IF(OR($C196="",$D196&lt;&gt;"Sim"),"",IF(COUNTIFS(RASTREABILIDADE!$A:$A,"C2",RASTREABILIDADE!$G:$G,$C196,RASTREABILIDADE!$H:$H,"Sim",RASTREABILIDADE!$C:$C,IF(RESUMO!$B$5="Todas","&lt;&gt;",RESUMO!$B$5),RASTREABILIDADE!$B:$B,IF(RESUMO!$B$6="Todas","&lt;&gt;",RESUMO!$B$6))&gt;0,1,0))</f>
        <v/>
      </c>
    </row>
    <row r="197" ht="15.75" customHeight="1">
      <c r="A197" s="47">
        <v>197.0</v>
      </c>
      <c r="B197" s="47" t="str">
        <f>IF(GABARITO!$B198="","",IF(COUNTIF(GABARITO!$B$4:$B198,GABARITO!$B198)=1,GABARITO!$B198,""))</f>
        <v/>
      </c>
      <c r="C197" s="47" t="str">
        <f>IF(GABARITO!$G198="","",GABARITO!$G198)</f>
        <v/>
      </c>
      <c r="D197" s="47" t="str">
        <f>IF(GABARITO!$J198="","",GABARITO!$J198)</f>
        <v/>
      </c>
      <c r="E197" s="47" t="str">
        <f>IFERROR(__xludf.DUMMYFUNCTION("IF($B197="""","""",IF(SUMPRODUCT((RASTREABILIDADE!$A$2:$A$2000=""C0"")*(RASTREABILIDADE!$F$2:$F$2000=""Sim"")*REGEXMATCH(RASTREABILIDADE!$E$2:$E$2000,""(^|[^A-Za-z0-9])""&amp;$B197&amp;""($|[^A-Za-z0-9])"")*(((RESUMO!$B$5=""Todas"")+(RASTREABILIDADE!$C$2:$C$2000="&amp;"RESUMO!$B$5))&gt;0)*(((RESUMO!$B$6=""Todas"")+(RASTREABILIDADE!$B$2:$B$2000=RESUMO!$B$6))&gt;0))&gt;0,1,0))"),"")</f>
        <v/>
      </c>
      <c r="F197" s="47" t="str">
        <f>IFERROR(__xludf.DUMMYFUNCTION("IF($B197="""","""",IF(SUMPRODUCT((RASTREABILIDADE!$A$2:$A$2000=""C1"")*(RASTREABILIDADE!$F$2:$F$2000=""Sim"")*REGEXMATCH(RASTREABILIDADE!$E$2:$E$2000,""(^|[^A-Za-z0-9])""&amp;$B197&amp;""($|[^A-Za-z0-9])"")*(((RESUMO!$B$5=""Todas"")+(RASTREABILIDADE!$C$2:$C$2000="&amp;"RESUMO!$B$5))&gt;0)*(((RESUMO!$B$6=""Todas"")+(RASTREABILIDADE!$B$2:$B$2000=RESUMO!$B$6))&gt;0))&gt;0,1,0))"),"")</f>
        <v/>
      </c>
      <c r="G197" s="47" t="str">
        <f>IFERROR(__xludf.DUMMYFUNCTION("IF($B197="""","""",IF(SUMPRODUCT((RASTREABILIDADE!$A$2:$A$2000=""C2"")*(RASTREABILIDADE!$F$2:$F$2000=""Sim"")*REGEXMATCH(RASTREABILIDADE!$E$2:$E$2000,""(^|[^A-Za-z0-9])""&amp;$B197&amp;""($|[^A-Za-z0-9])"")*(((RESUMO!$B$5=""Todas"")+(RASTREABILIDADE!$C$2:$C$2000="&amp;"RESUMO!$B$5))&gt;0)*(((RESUMO!$B$6=""Todas"")+(RASTREABILIDADE!$B$2:$B$2000=RESUMO!$B$6))&gt;0))&gt;0,1,0))"),"")</f>
        <v/>
      </c>
      <c r="H197" s="47" t="str">
        <f>IF(OR($C197="",$D197&lt;&gt;"Sim"),"",IF(COUNTIFS(RASTREABILIDADE!$A:$A,"C0",RASTREABILIDADE!$G:$G,$C197,RASTREABILIDADE!$H:$H,"Sim",RASTREABILIDADE!$C:$C,IF(RESUMO!$B$5="Todas","&lt;&gt;",RESUMO!$B$5),RASTREABILIDADE!$B:$B,IF(RESUMO!$B$6="Todas","&lt;&gt;",RESUMO!$B$6))&gt;0,1,0))</f>
        <v/>
      </c>
      <c r="I197" s="47" t="str">
        <f>IF(OR($C197="",$D197&lt;&gt;"Sim"),"",IF(COUNTIFS(RASTREABILIDADE!$A:$A,"C1",RASTREABILIDADE!$G:$G,$C197,RASTREABILIDADE!$H:$H,"Sim",RASTREABILIDADE!$C:$C,IF(RESUMO!$B$5="Todas","&lt;&gt;",RESUMO!$B$5),RASTREABILIDADE!$B:$B,IF(RESUMO!$B$6="Todas","&lt;&gt;",RESUMO!$B$6))&gt;0,1,0))</f>
        <v/>
      </c>
      <c r="J197" s="47" t="str">
        <f>IF(OR($C197="",$D197&lt;&gt;"Sim"),"",IF(COUNTIFS(RASTREABILIDADE!$A:$A,"C2",RASTREABILIDADE!$G:$G,$C197,RASTREABILIDADE!$H:$H,"Sim",RASTREABILIDADE!$C:$C,IF(RESUMO!$B$5="Todas","&lt;&gt;",RESUMO!$B$5),RASTREABILIDADE!$B:$B,IF(RESUMO!$B$6="Todas","&lt;&gt;",RESUMO!$B$6))&gt;0,1,0))</f>
        <v/>
      </c>
    </row>
    <row r="198" ht="15.75" customHeight="1">
      <c r="A198" s="47">
        <v>198.0</v>
      </c>
      <c r="B198" s="47" t="str">
        <f>IF(GABARITO!$B199="","",IF(COUNTIF(GABARITO!$B$4:$B199,GABARITO!$B199)=1,GABARITO!$B199,""))</f>
        <v/>
      </c>
      <c r="C198" s="47" t="str">
        <f>IF(GABARITO!$G199="","",GABARITO!$G199)</f>
        <v/>
      </c>
      <c r="D198" s="47" t="str">
        <f>IF(GABARITO!$J199="","",GABARITO!$J199)</f>
        <v/>
      </c>
      <c r="E198" s="47" t="str">
        <f>IFERROR(__xludf.DUMMYFUNCTION("IF($B198="""","""",IF(SUMPRODUCT((RASTREABILIDADE!$A$2:$A$2000=""C0"")*(RASTREABILIDADE!$F$2:$F$2000=""Sim"")*REGEXMATCH(RASTREABILIDADE!$E$2:$E$2000,""(^|[^A-Za-z0-9])""&amp;$B198&amp;""($|[^A-Za-z0-9])"")*(((RESUMO!$B$5=""Todas"")+(RASTREABILIDADE!$C$2:$C$2000="&amp;"RESUMO!$B$5))&gt;0)*(((RESUMO!$B$6=""Todas"")+(RASTREABILIDADE!$B$2:$B$2000=RESUMO!$B$6))&gt;0))&gt;0,1,0))"),"")</f>
        <v/>
      </c>
      <c r="F198" s="47" t="str">
        <f>IFERROR(__xludf.DUMMYFUNCTION("IF($B198="""","""",IF(SUMPRODUCT((RASTREABILIDADE!$A$2:$A$2000=""C1"")*(RASTREABILIDADE!$F$2:$F$2000=""Sim"")*REGEXMATCH(RASTREABILIDADE!$E$2:$E$2000,""(^|[^A-Za-z0-9])""&amp;$B198&amp;""($|[^A-Za-z0-9])"")*(((RESUMO!$B$5=""Todas"")+(RASTREABILIDADE!$C$2:$C$2000="&amp;"RESUMO!$B$5))&gt;0)*(((RESUMO!$B$6=""Todas"")+(RASTREABILIDADE!$B$2:$B$2000=RESUMO!$B$6))&gt;0))&gt;0,1,0))"),"")</f>
        <v/>
      </c>
      <c r="G198" s="47" t="str">
        <f>IFERROR(__xludf.DUMMYFUNCTION("IF($B198="""","""",IF(SUMPRODUCT((RASTREABILIDADE!$A$2:$A$2000=""C2"")*(RASTREABILIDADE!$F$2:$F$2000=""Sim"")*REGEXMATCH(RASTREABILIDADE!$E$2:$E$2000,""(^|[^A-Za-z0-9])""&amp;$B198&amp;""($|[^A-Za-z0-9])"")*(((RESUMO!$B$5=""Todas"")+(RASTREABILIDADE!$C$2:$C$2000="&amp;"RESUMO!$B$5))&gt;0)*(((RESUMO!$B$6=""Todas"")+(RASTREABILIDADE!$B$2:$B$2000=RESUMO!$B$6))&gt;0))&gt;0,1,0))"),"")</f>
        <v/>
      </c>
      <c r="H198" s="47" t="str">
        <f>IF(OR($C198="",$D198&lt;&gt;"Sim"),"",IF(COUNTIFS(RASTREABILIDADE!$A:$A,"C0",RASTREABILIDADE!$G:$G,$C198,RASTREABILIDADE!$H:$H,"Sim",RASTREABILIDADE!$C:$C,IF(RESUMO!$B$5="Todas","&lt;&gt;",RESUMO!$B$5),RASTREABILIDADE!$B:$B,IF(RESUMO!$B$6="Todas","&lt;&gt;",RESUMO!$B$6))&gt;0,1,0))</f>
        <v/>
      </c>
      <c r="I198" s="47" t="str">
        <f>IF(OR($C198="",$D198&lt;&gt;"Sim"),"",IF(COUNTIFS(RASTREABILIDADE!$A:$A,"C1",RASTREABILIDADE!$G:$G,$C198,RASTREABILIDADE!$H:$H,"Sim",RASTREABILIDADE!$C:$C,IF(RESUMO!$B$5="Todas","&lt;&gt;",RESUMO!$B$5),RASTREABILIDADE!$B:$B,IF(RESUMO!$B$6="Todas","&lt;&gt;",RESUMO!$B$6))&gt;0,1,0))</f>
        <v/>
      </c>
      <c r="J198" s="47" t="str">
        <f>IF(OR($C198="",$D198&lt;&gt;"Sim"),"",IF(COUNTIFS(RASTREABILIDADE!$A:$A,"C2",RASTREABILIDADE!$G:$G,$C198,RASTREABILIDADE!$H:$H,"Sim",RASTREABILIDADE!$C:$C,IF(RESUMO!$B$5="Todas","&lt;&gt;",RESUMO!$B$5),RASTREABILIDADE!$B:$B,IF(RESUMO!$B$6="Todas","&lt;&gt;",RESUMO!$B$6))&gt;0,1,0))</f>
        <v/>
      </c>
    </row>
    <row r="199" ht="15.75" customHeight="1">
      <c r="A199" s="47">
        <v>199.0</v>
      </c>
      <c r="B199" s="47" t="str">
        <f>IF(GABARITO!$B200="","",IF(COUNTIF(GABARITO!$B$4:$B200,GABARITO!$B200)=1,GABARITO!$B200,""))</f>
        <v/>
      </c>
      <c r="C199" s="47" t="str">
        <f>IF(GABARITO!$G200="","",GABARITO!$G200)</f>
        <v/>
      </c>
      <c r="D199" s="47" t="str">
        <f>IF(GABARITO!$J200="","",GABARITO!$J200)</f>
        <v/>
      </c>
      <c r="E199" s="47" t="str">
        <f>IFERROR(__xludf.DUMMYFUNCTION("IF($B199="""","""",IF(SUMPRODUCT((RASTREABILIDADE!$A$2:$A$2000=""C0"")*(RASTREABILIDADE!$F$2:$F$2000=""Sim"")*REGEXMATCH(RASTREABILIDADE!$E$2:$E$2000,""(^|[^A-Za-z0-9])""&amp;$B199&amp;""($|[^A-Za-z0-9])"")*(((RESUMO!$B$5=""Todas"")+(RASTREABILIDADE!$C$2:$C$2000="&amp;"RESUMO!$B$5))&gt;0)*(((RESUMO!$B$6=""Todas"")+(RASTREABILIDADE!$B$2:$B$2000=RESUMO!$B$6))&gt;0))&gt;0,1,0))"),"")</f>
        <v/>
      </c>
      <c r="F199" s="47" t="str">
        <f>IFERROR(__xludf.DUMMYFUNCTION("IF($B199="""","""",IF(SUMPRODUCT((RASTREABILIDADE!$A$2:$A$2000=""C1"")*(RASTREABILIDADE!$F$2:$F$2000=""Sim"")*REGEXMATCH(RASTREABILIDADE!$E$2:$E$2000,""(^|[^A-Za-z0-9])""&amp;$B199&amp;""($|[^A-Za-z0-9])"")*(((RESUMO!$B$5=""Todas"")+(RASTREABILIDADE!$C$2:$C$2000="&amp;"RESUMO!$B$5))&gt;0)*(((RESUMO!$B$6=""Todas"")+(RASTREABILIDADE!$B$2:$B$2000=RESUMO!$B$6))&gt;0))&gt;0,1,0))"),"")</f>
        <v/>
      </c>
      <c r="G199" s="47" t="str">
        <f>IFERROR(__xludf.DUMMYFUNCTION("IF($B199="""","""",IF(SUMPRODUCT((RASTREABILIDADE!$A$2:$A$2000=""C2"")*(RASTREABILIDADE!$F$2:$F$2000=""Sim"")*REGEXMATCH(RASTREABILIDADE!$E$2:$E$2000,""(^|[^A-Za-z0-9])""&amp;$B199&amp;""($|[^A-Za-z0-9])"")*(((RESUMO!$B$5=""Todas"")+(RASTREABILIDADE!$C$2:$C$2000="&amp;"RESUMO!$B$5))&gt;0)*(((RESUMO!$B$6=""Todas"")+(RASTREABILIDADE!$B$2:$B$2000=RESUMO!$B$6))&gt;0))&gt;0,1,0))"),"")</f>
        <v/>
      </c>
      <c r="H199" s="47" t="str">
        <f>IF(OR($C199="",$D199&lt;&gt;"Sim"),"",IF(COUNTIFS(RASTREABILIDADE!$A:$A,"C0",RASTREABILIDADE!$G:$G,$C199,RASTREABILIDADE!$H:$H,"Sim",RASTREABILIDADE!$C:$C,IF(RESUMO!$B$5="Todas","&lt;&gt;",RESUMO!$B$5),RASTREABILIDADE!$B:$B,IF(RESUMO!$B$6="Todas","&lt;&gt;",RESUMO!$B$6))&gt;0,1,0))</f>
        <v/>
      </c>
      <c r="I199" s="47" t="str">
        <f>IF(OR($C199="",$D199&lt;&gt;"Sim"),"",IF(COUNTIFS(RASTREABILIDADE!$A:$A,"C1",RASTREABILIDADE!$G:$G,$C199,RASTREABILIDADE!$H:$H,"Sim",RASTREABILIDADE!$C:$C,IF(RESUMO!$B$5="Todas","&lt;&gt;",RESUMO!$B$5),RASTREABILIDADE!$B:$B,IF(RESUMO!$B$6="Todas","&lt;&gt;",RESUMO!$B$6))&gt;0,1,0))</f>
        <v/>
      </c>
      <c r="J199" s="47" t="str">
        <f>IF(OR($C199="",$D199&lt;&gt;"Sim"),"",IF(COUNTIFS(RASTREABILIDADE!$A:$A,"C2",RASTREABILIDADE!$G:$G,$C199,RASTREABILIDADE!$H:$H,"Sim",RASTREABILIDADE!$C:$C,IF(RESUMO!$B$5="Todas","&lt;&gt;",RESUMO!$B$5),RASTREABILIDADE!$B:$B,IF(RESUMO!$B$6="Todas","&lt;&gt;",RESUMO!$B$6))&gt;0,1,0))</f>
        <v/>
      </c>
    </row>
    <row r="200" ht="15.75" customHeight="1">
      <c r="A200" s="47">
        <v>200.0</v>
      </c>
      <c r="B200" s="47" t="str">
        <f>IF(GABARITO!$B201="","",IF(COUNTIF(GABARITO!$B$4:$B201,GABARITO!$B201)=1,GABARITO!$B201,""))</f>
        <v/>
      </c>
      <c r="C200" s="47" t="str">
        <f>IF(GABARITO!$G201="","",GABARITO!$G201)</f>
        <v/>
      </c>
      <c r="D200" s="47" t="str">
        <f>IF(GABARITO!$J201="","",GABARITO!$J201)</f>
        <v/>
      </c>
      <c r="E200" s="47" t="str">
        <f>IFERROR(__xludf.DUMMYFUNCTION("IF($B200="""","""",IF(SUMPRODUCT((RASTREABILIDADE!$A$2:$A$2000=""C0"")*(RASTREABILIDADE!$F$2:$F$2000=""Sim"")*REGEXMATCH(RASTREABILIDADE!$E$2:$E$2000,""(^|[^A-Za-z0-9])""&amp;$B200&amp;""($|[^A-Za-z0-9])"")*(((RESUMO!$B$5=""Todas"")+(RASTREABILIDADE!$C$2:$C$2000="&amp;"RESUMO!$B$5))&gt;0)*(((RESUMO!$B$6=""Todas"")+(RASTREABILIDADE!$B$2:$B$2000=RESUMO!$B$6))&gt;0))&gt;0,1,0))"),"")</f>
        <v/>
      </c>
      <c r="F200" s="47" t="str">
        <f>IFERROR(__xludf.DUMMYFUNCTION("IF($B200="""","""",IF(SUMPRODUCT((RASTREABILIDADE!$A$2:$A$2000=""C1"")*(RASTREABILIDADE!$F$2:$F$2000=""Sim"")*REGEXMATCH(RASTREABILIDADE!$E$2:$E$2000,""(^|[^A-Za-z0-9])""&amp;$B200&amp;""($|[^A-Za-z0-9])"")*(((RESUMO!$B$5=""Todas"")+(RASTREABILIDADE!$C$2:$C$2000="&amp;"RESUMO!$B$5))&gt;0)*(((RESUMO!$B$6=""Todas"")+(RASTREABILIDADE!$B$2:$B$2000=RESUMO!$B$6))&gt;0))&gt;0,1,0))"),"")</f>
        <v/>
      </c>
      <c r="G200" s="47" t="str">
        <f>IFERROR(__xludf.DUMMYFUNCTION("IF($B200="""","""",IF(SUMPRODUCT((RASTREABILIDADE!$A$2:$A$2000=""C2"")*(RASTREABILIDADE!$F$2:$F$2000=""Sim"")*REGEXMATCH(RASTREABILIDADE!$E$2:$E$2000,""(^|[^A-Za-z0-9])""&amp;$B200&amp;""($|[^A-Za-z0-9])"")*(((RESUMO!$B$5=""Todas"")+(RASTREABILIDADE!$C$2:$C$2000="&amp;"RESUMO!$B$5))&gt;0)*(((RESUMO!$B$6=""Todas"")+(RASTREABILIDADE!$B$2:$B$2000=RESUMO!$B$6))&gt;0))&gt;0,1,0))"),"")</f>
        <v/>
      </c>
      <c r="H200" s="47" t="str">
        <f>IF(OR($C200="",$D200&lt;&gt;"Sim"),"",IF(COUNTIFS(RASTREABILIDADE!$A:$A,"C0",RASTREABILIDADE!$G:$G,$C200,RASTREABILIDADE!$H:$H,"Sim",RASTREABILIDADE!$C:$C,IF(RESUMO!$B$5="Todas","&lt;&gt;",RESUMO!$B$5),RASTREABILIDADE!$B:$B,IF(RESUMO!$B$6="Todas","&lt;&gt;",RESUMO!$B$6))&gt;0,1,0))</f>
        <v/>
      </c>
      <c r="I200" s="47" t="str">
        <f>IF(OR($C200="",$D200&lt;&gt;"Sim"),"",IF(COUNTIFS(RASTREABILIDADE!$A:$A,"C1",RASTREABILIDADE!$G:$G,$C200,RASTREABILIDADE!$H:$H,"Sim",RASTREABILIDADE!$C:$C,IF(RESUMO!$B$5="Todas","&lt;&gt;",RESUMO!$B$5),RASTREABILIDADE!$B:$B,IF(RESUMO!$B$6="Todas","&lt;&gt;",RESUMO!$B$6))&gt;0,1,0))</f>
        <v/>
      </c>
      <c r="J200" s="47" t="str">
        <f>IF(OR($C200="",$D200&lt;&gt;"Sim"),"",IF(COUNTIFS(RASTREABILIDADE!$A:$A,"C2",RASTREABILIDADE!$G:$G,$C200,RASTREABILIDADE!$H:$H,"Sim",RASTREABILIDADE!$C:$C,IF(RESUMO!$B$5="Todas","&lt;&gt;",RESUMO!$B$5),RASTREABILIDADE!$B:$B,IF(RESUMO!$B$6="Todas","&lt;&gt;",RESUMO!$B$6))&gt;0,1,0))</f>
        <v/>
      </c>
    </row>
    <row r="201" ht="15.75" customHeight="1">
      <c r="A201" s="47">
        <v>201.0</v>
      </c>
      <c r="B201" s="47" t="str">
        <f>IF(GABARITO!$B202="","",IF(COUNTIF(GABARITO!$B$4:$B202,GABARITO!$B202)=1,GABARITO!$B202,""))</f>
        <v/>
      </c>
      <c r="C201" s="47" t="str">
        <f>IF(GABARITO!$G202="","",GABARITO!$G202)</f>
        <v/>
      </c>
      <c r="D201" s="47" t="str">
        <f>IF(GABARITO!$J202="","",GABARITO!$J202)</f>
        <v/>
      </c>
      <c r="E201" s="47" t="str">
        <f>IFERROR(__xludf.DUMMYFUNCTION("IF($B201="""","""",IF(SUMPRODUCT((RASTREABILIDADE!$A$2:$A$2000=""C0"")*(RASTREABILIDADE!$F$2:$F$2000=""Sim"")*REGEXMATCH(RASTREABILIDADE!$E$2:$E$2000,""(^|[^A-Za-z0-9])""&amp;$B201&amp;""($|[^A-Za-z0-9])"")*(((RESUMO!$B$5=""Todas"")+(RASTREABILIDADE!$C$2:$C$2000="&amp;"RESUMO!$B$5))&gt;0)*(((RESUMO!$B$6=""Todas"")+(RASTREABILIDADE!$B$2:$B$2000=RESUMO!$B$6))&gt;0))&gt;0,1,0))"),"")</f>
        <v/>
      </c>
      <c r="F201" s="47" t="str">
        <f>IFERROR(__xludf.DUMMYFUNCTION("IF($B201="""","""",IF(SUMPRODUCT((RASTREABILIDADE!$A$2:$A$2000=""C1"")*(RASTREABILIDADE!$F$2:$F$2000=""Sim"")*REGEXMATCH(RASTREABILIDADE!$E$2:$E$2000,""(^|[^A-Za-z0-9])""&amp;$B201&amp;""($|[^A-Za-z0-9])"")*(((RESUMO!$B$5=""Todas"")+(RASTREABILIDADE!$C$2:$C$2000="&amp;"RESUMO!$B$5))&gt;0)*(((RESUMO!$B$6=""Todas"")+(RASTREABILIDADE!$B$2:$B$2000=RESUMO!$B$6))&gt;0))&gt;0,1,0))"),"")</f>
        <v/>
      </c>
      <c r="G201" s="47" t="str">
        <f>IFERROR(__xludf.DUMMYFUNCTION("IF($B201="""","""",IF(SUMPRODUCT((RASTREABILIDADE!$A$2:$A$2000=""C2"")*(RASTREABILIDADE!$F$2:$F$2000=""Sim"")*REGEXMATCH(RASTREABILIDADE!$E$2:$E$2000,""(^|[^A-Za-z0-9])""&amp;$B201&amp;""($|[^A-Za-z0-9])"")*(((RESUMO!$B$5=""Todas"")+(RASTREABILIDADE!$C$2:$C$2000="&amp;"RESUMO!$B$5))&gt;0)*(((RESUMO!$B$6=""Todas"")+(RASTREABILIDADE!$B$2:$B$2000=RESUMO!$B$6))&gt;0))&gt;0,1,0))"),"")</f>
        <v/>
      </c>
      <c r="H201" s="47" t="str">
        <f>IF(OR($C201="",$D201&lt;&gt;"Sim"),"",IF(COUNTIFS(RASTREABILIDADE!$A:$A,"C0",RASTREABILIDADE!$G:$G,$C201,RASTREABILIDADE!$H:$H,"Sim",RASTREABILIDADE!$C:$C,IF(RESUMO!$B$5="Todas","&lt;&gt;",RESUMO!$B$5),RASTREABILIDADE!$B:$B,IF(RESUMO!$B$6="Todas","&lt;&gt;",RESUMO!$B$6))&gt;0,1,0))</f>
        <v/>
      </c>
      <c r="I201" s="47" t="str">
        <f>IF(OR($C201="",$D201&lt;&gt;"Sim"),"",IF(COUNTIFS(RASTREABILIDADE!$A:$A,"C1",RASTREABILIDADE!$G:$G,$C201,RASTREABILIDADE!$H:$H,"Sim",RASTREABILIDADE!$C:$C,IF(RESUMO!$B$5="Todas","&lt;&gt;",RESUMO!$B$5),RASTREABILIDADE!$B:$B,IF(RESUMO!$B$6="Todas","&lt;&gt;",RESUMO!$B$6))&gt;0,1,0))</f>
        <v/>
      </c>
      <c r="J201" s="47" t="str">
        <f>IF(OR($C201="",$D201&lt;&gt;"Sim"),"",IF(COUNTIFS(RASTREABILIDADE!$A:$A,"C2",RASTREABILIDADE!$G:$G,$C201,RASTREABILIDADE!$H:$H,"Sim",RASTREABILIDADE!$C:$C,IF(RESUMO!$B$5="Todas","&lt;&gt;",RESUMO!$B$5),RASTREABILIDADE!$B:$B,IF(RESUMO!$B$6="Todas","&lt;&gt;",RESUMO!$B$6))&gt;0,1,0))</f>
        <v/>
      </c>
    </row>
    <row r="202" ht="15.75" customHeight="1">
      <c r="A202" s="47">
        <v>202.0</v>
      </c>
      <c r="B202" s="47" t="str">
        <f>IF(GABARITO!$B203="","",IF(COUNTIF(GABARITO!$B$4:$B203,GABARITO!$B203)=1,GABARITO!$B203,""))</f>
        <v/>
      </c>
      <c r="C202" s="47" t="str">
        <f>IF(GABARITO!$G203="","",GABARITO!$G203)</f>
        <v/>
      </c>
      <c r="D202" s="47" t="str">
        <f>IF(GABARITO!$J203="","",GABARITO!$J203)</f>
        <v/>
      </c>
      <c r="E202" s="47" t="str">
        <f>IFERROR(__xludf.DUMMYFUNCTION("IF($B202="""","""",IF(SUMPRODUCT((RASTREABILIDADE!$A$2:$A$2000=""C0"")*(RASTREABILIDADE!$F$2:$F$2000=""Sim"")*REGEXMATCH(RASTREABILIDADE!$E$2:$E$2000,""(^|[^A-Za-z0-9])""&amp;$B202&amp;""($|[^A-Za-z0-9])"")*(((RESUMO!$B$5=""Todas"")+(RASTREABILIDADE!$C$2:$C$2000="&amp;"RESUMO!$B$5))&gt;0)*(((RESUMO!$B$6=""Todas"")+(RASTREABILIDADE!$B$2:$B$2000=RESUMO!$B$6))&gt;0))&gt;0,1,0))"),"")</f>
        <v/>
      </c>
      <c r="F202" s="47" t="str">
        <f>IFERROR(__xludf.DUMMYFUNCTION("IF($B202="""","""",IF(SUMPRODUCT((RASTREABILIDADE!$A$2:$A$2000=""C1"")*(RASTREABILIDADE!$F$2:$F$2000=""Sim"")*REGEXMATCH(RASTREABILIDADE!$E$2:$E$2000,""(^|[^A-Za-z0-9])""&amp;$B202&amp;""($|[^A-Za-z0-9])"")*(((RESUMO!$B$5=""Todas"")+(RASTREABILIDADE!$C$2:$C$2000="&amp;"RESUMO!$B$5))&gt;0)*(((RESUMO!$B$6=""Todas"")+(RASTREABILIDADE!$B$2:$B$2000=RESUMO!$B$6))&gt;0))&gt;0,1,0))"),"")</f>
        <v/>
      </c>
      <c r="G202" s="47" t="str">
        <f>IFERROR(__xludf.DUMMYFUNCTION("IF($B202="""","""",IF(SUMPRODUCT((RASTREABILIDADE!$A$2:$A$2000=""C2"")*(RASTREABILIDADE!$F$2:$F$2000=""Sim"")*REGEXMATCH(RASTREABILIDADE!$E$2:$E$2000,""(^|[^A-Za-z0-9])""&amp;$B202&amp;""($|[^A-Za-z0-9])"")*(((RESUMO!$B$5=""Todas"")+(RASTREABILIDADE!$C$2:$C$2000="&amp;"RESUMO!$B$5))&gt;0)*(((RESUMO!$B$6=""Todas"")+(RASTREABILIDADE!$B$2:$B$2000=RESUMO!$B$6))&gt;0))&gt;0,1,0))"),"")</f>
        <v/>
      </c>
      <c r="H202" s="47" t="str">
        <f>IF(OR($C202="",$D202&lt;&gt;"Sim"),"",IF(COUNTIFS(RASTREABILIDADE!$A:$A,"C0",RASTREABILIDADE!$G:$G,$C202,RASTREABILIDADE!$H:$H,"Sim",RASTREABILIDADE!$C:$C,IF(RESUMO!$B$5="Todas","&lt;&gt;",RESUMO!$B$5),RASTREABILIDADE!$B:$B,IF(RESUMO!$B$6="Todas","&lt;&gt;",RESUMO!$B$6))&gt;0,1,0))</f>
        <v/>
      </c>
      <c r="I202" s="47" t="str">
        <f>IF(OR($C202="",$D202&lt;&gt;"Sim"),"",IF(COUNTIFS(RASTREABILIDADE!$A:$A,"C1",RASTREABILIDADE!$G:$G,$C202,RASTREABILIDADE!$H:$H,"Sim",RASTREABILIDADE!$C:$C,IF(RESUMO!$B$5="Todas","&lt;&gt;",RESUMO!$B$5),RASTREABILIDADE!$B:$B,IF(RESUMO!$B$6="Todas","&lt;&gt;",RESUMO!$B$6))&gt;0,1,0))</f>
        <v/>
      </c>
      <c r="J202" s="47" t="str">
        <f>IF(OR($C202="",$D202&lt;&gt;"Sim"),"",IF(COUNTIFS(RASTREABILIDADE!$A:$A,"C2",RASTREABILIDADE!$G:$G,$C202,RASTREABILIDADE!$H:$H,"Sim",RASTREABILIDADE!$C:$C,IF(RESUMO!$B$5="Todas","&lt;&gt;",RESUMO!$B$5),RASTREABILIDADE!$B:$B,IF(RESUMO!$B$6="Todas","&lt;&gt;",RESUMO!$B$6))&gt;0,1,0))</f>
        <v/>
      </c>
    </row>
    <row r="203" ht="15.75" customHeight="1">
      <c r="A203" s="47">
        <v>203.0</v>
      </c>
      <c r="B203" s="47" t="str">
        <f>IF(GABARITO!$B204="","",IF(COUNTIF(GABARITO!$B$4:$B204,GABARITO!$B204)=1,GABARITO!$B204,""))</f>
        <v/>
      </c>
      <c r="C203" s="47" t="str">
        <f>IF(GABARITO!$G204="","",GABARITO!$G204)</f>
        <v/>
      </c>
      <c r="D203" s="47" t="str">
        <f>IF(GABARITO!$J204="","",GABARITO!$J204)</f>
        <v/>
      </c>
      <c r="E203" s="47" t="str">
        <f>IFERROR(__xludf.DUMMYFUNCTION("IF($B203="""","""",IF(SUMPRODUCT((RASTREABILIDADE!$A$2:$A$2000=""C0"")*(RASTREABILIDADE!$F$2:$F$2000=""Sim"")*REGEXMATCH(RASTREABILIDADE!$E$2:$E$2000,""(^|[^A-Za-z0-9])""&amp;$B203&amp;""($|[^A-Za-z0-9])"")*(((RESUMO!$B$5=""Todas"")+(RASTREABILIDADE!$C$2:$C$2000="&amp;"RESUMO!$B$5))&gt;0)*(((RESUMO!$B$6=""Todas"")+(RASTREABILIDADE!$B$2:$B$2000=RESUMO!$B$6))&gt;0))&gt;0,1,0))"),"")</f>
        <v/>
      </c>
      <c r="F203" s="47" t="str">
        <f>IFERROR(__xludf.DUMMYFUNCTION("IF($B203="""","""",IF(SUMPRODUCT((RASTREABILIDADE!$A$2:$A$2000=""C1"")*(RASTREABILIDADE!$F$2:$F$2000=""Sim"")*REGEXMATCH(RASTREABILIDADE!$E$2:$E$2000,""(^|[^A-Za-z0-9])""&amp;$B203&amp;""($|[^A-Za-z0-9])"")*(((RESUMO!$B$5=""Todas"")+(RASTREABILIDADE!$C$2:$C$2000="&amp;"RESUMO!$B$5))&gt;0)*(((RESUMO!$B$6=""Todas"")+(RASTREABILIDADE!$B$2:$B$2000=RESUMO!$B$6))&gt;0))&gt;0,1,0))"),"")</f>
        <v/>
      </c>
      <c r="G203" s="47" t="str">
        <f>IFERROR(__xludf.DUMMYFUNCTION("IF($B203="""","""",IF(SUMPRODUCT((RASTREABILIDADE!$A$2:$A$2000=""C2"")*(RASTREABILIDADE!$F$2:$F$2000=""Sim"")*REGEXMATCH(RASTREABILIDADE!$E$2:$E$2000,""(^|[^A-Za-z0-9])""&amp;$B203&amp;""($|[^A-Za-z0-9])"")*(((RESUMO!$B$5=""Todas"")+(RASTREABILIDADE!$C$2:$C$2000="&amp;"RESUMO!$B$5))&gt;0)*(((RESUMO!$B$6=""Todas"")+(RASTREABILIDADE!$B$2:$B$2000=RESUMO!$B$6))&gt;0))&gt;0,1,0))"),"")</f>
        <v/>
      </c>
      <c r="H203" s="47" t="str">
        <f>IF(OR($C203="",$D203&lt;&gt;"Sim"),"",IF(COUNTIFS(RASTREABILIDADE!$A:$A,"C0",RASTREABILIDADE!$G:$G,$C203,RASTREABILIDADE!$H:$H,"Sim",RASTREABILIDADE!$C:$C,IF(RESUMO!$B$5="Todas","&lt;&gt;",RESUMO!$B$5),RASTREABILIDADE!$B:$B,IF(RESUMO!$B$6="Todas","&lt;&gt;",RESUMO!$B$6))&gt;0,1,0))</f>
        <v/>
      </c>
      <c r="I203" s="47" t="str">
        <f>IF(OR($C203="",$D203&lt;&gt;"Sim"),"",IF(COUNTIFS(RASTREABILIDADE!$A:$A,"C1",RASTREABILIDADE!$G:$G,$C203,RASTREABILIDADE!$H:$H,"Sim",RASTREABILIDADE!$C:$C,IF(RESUMO!$B$5="Todas","&lt;&gt;",RESUMO!$B$5),RASTREABILIDADE!$B:$B,IF(RESUMO!$B$6="Todas","&lt;&gt;",RESUMO!$B$6))&gt;0,1,0))</f>
        <v/>
      </c>
      <c r="J203" s="47" t="str">
        <f>IF(OR($C203="",$D203&lt;&gt;"Sim"),"",IF(COUNTIFS(RASTREABILIDADE!$A:$A,"C2",RASTREABILIDADE!$G:$G,$C203,RASTREABILIDADE!$H:$H,"Sim",RASTREABILIDADE!$C:$C,IF(RESUMO!$B$5="Todas","&lt;&gt;",RESUMO!$B$5),RASTREABILIDADE!$B:$B,IF(RESUMO!$B$6="Todas","&lt;&gt;",RESUMO!$B$6))&gt;0,1,0))</f>
        <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J$203"/>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52.0"/>
    <col customWidth="1" min="2" max="4" width="18.0"/>
    <col customWidth="1" min="5" max="5" width="60.0"/>
    <col customWidth="1" min="6" max="26" width="8.71"/>
  </cols>
  <sheetData>
    <row r="1">
      <c r="A1" s="1" t="s">
        <v>1010</v>
      </c>
    </row>
    <row r="2">
      <c r="A2" s="2" t="s">
        <v>1011</v>
      </c>
    </row>
    <row r="5">
      <c r="A5" s="6" t="s">
        <v>1012</v>
      </c>
      <c r="B5" s="7" t="s">
        <v>1013</v>
      </c>
      <c r="E5" s="60" t="s">
        <v>1014</v>
      </c>
    </row>
    <row r="6">
      <c r="A6" s="6" t="s">
        <v>1015</v>
      </c>
      <c r="B6" s="7" t="s">
        <v>1013</v>
      </c>
    </row>
    <row r="8">
      <c r="A8" s="4" t="s">
        <v>1016</v>
      </c>
      <c r="B8" s="5"/>
      <c r="C8" s="5"/>
      <c r="D8" s="5"/>
    </row>
    <row r="9">
      <c r="A9" s="61" t="s">
        <v>1017</v>
      </c>
      <c r="B9" s="61" t="s">
        <v>532</v>
      </c>
      <c r="C9" s="61" t="s">
        <v>684</v>
      </c>
      <c r="D9" s="61" t="s">
        <v>815</v>
      </c>
    </row>
    <row r="10">
      <c r="A10" s="62" t="s">
        <v>1018</v>
      </c>
      <c r="B10" s="63">
        <f>SUMPRODUCT((APURACAO!$B$4:$B$203&lt;&gt;"")*1)</f>
        <v>23</v>
      </c>
      <c r="E10" s="60" t="s">
        <v>1019</v>
      </c>
    </row>
    <row r="11">
      <c r="A11" s="62" t="s">
        <v>1020</v>
      </c>
      <c r="B11" s="63">
        <f>COUNTIFS(APURACAO!$D$4:$D$203,"Sim")</f>
        <v>3</v>
      </c>
      <c r="E11" s="60" t="s">
        <v>1021</v>
      </c>
    </row>
    <row r="12">
      <c r="A12" s="62" t="s">
        <v>1022</v>
      </c>
      <c r="B12" s="63">
        <f>IFERROR(__xludf.DUMMYFUNCTION("COUNTUNIQUE(FILTER(APURACAO!$C$4:$C$203,APURACAO!$C$4:$C$203&lt;&gt;""""))"),21.0)</f>
        <v>21</v>
      </c>
    </row>
    <row r="13">
      <c r="A13" s="4" t="s">
        <v>1023</v>
      </c>
      <c r="B13" s="5"/>
      <c r="C13" s="5"/>
      <c r="D13" s="5"/>
    </row>
    <row r="14">
      <c r="A14" s="61" t="s">
        <v>1017</v>
      </c>
      <c r="B14" s="61" t="s">
        <v>532</v>
      </c>
      <c r="C14" s="61" t="s">
        <v>684</v>
      </c>
      <c r="D14" s="61" t="s">
        <v>815</v>
      </c>
    </row>
    <row r="15">
      <c r="A15" s="16" t="s">
        <v>1024</v>
      </c>
      <c r="B15" s="63">
        <f>SUM(APURACAO!$E$4:$E$203)</f>
        <v>12</v>
      </c>
      <c r="C15" s="63">
        <f>SUM(APURACAO!$F$4:$F$203)</f>
        <v>23</v>
      </c>
      <c r="D15" s="63">
        <f>SUM(APURACAO!$G$4:$G$203)</f>
        <v>23</v>
      </c>
    </row>
    <row r="16">
      <c r="A16" s="16" t="s">
        <v>1025</v>
      </c>
      <c r="B16" s="64">
        <f t="shared" ref="B16:D16" si="1">IFERROR(B15/$B$10,"")</f>
        <v>0.5217391304</v>
      </c>
      <c r="C16" s="64">
        <f t="shared" si="1"/>
        <v>1</v>
      </c>
      <c r="D16" s="64">
        <f t="shared" si="1"/>
        <v>1</v>
      </c>
      <c r="E16" s="60" t="s">
        <v>1028</v>
      </c>
    </row>
    <row r="17">
      <c r="A17" s="16" t="s">
        <v>1029</v>
      </c>
      <c r="B17" s="63">
        <f>SUM(APURACAO!$H$4:$H$203)</f>
        <v>0</v>
      </c>
      <c r="C17" s="63">
        <f>SUM(APURACAO!$I$4:$I$203)</f>
        <v>3</v>
      </c>
      <c r="D17" s="63">
        <f>SUM(APURACAO!$J$4:$J$203)</f>
        <v>3</v>
      </c>
    </row>
    <row r="18">
      <c r="A18" s="16" t="s">
        <v>1031</v>
      </c>
      <c r="B18" s="64">
        <f t="shared" ref="B18:D18" si="2">IFERROR(B17/$B$11,"")</f>
        <v>0</v>
      </c>
      <c r="C18" s="64">
        <f t="shared" si="2"/>
        <v>1</v>
      </c>
      <c r="D18" s="64">
        <f t="shared" si="2"/>
        <v>1</v>
      </c>
      <c r="E18" s="60" t="s">
        <v>1033</v>
      </c>
    </row>
    <row r="19">
      <c r="A19" s="16" t="s">
        <v>1034</v>
      </c>
      <c r="B19" s="63">
        <f>IFERROR(__xludf.DUMMYFUNCTION("COUNTUNIQUE(FILTER(RASTREABILIDADE!$D$2:$D1000,RASTREABILIDADE!$A$2:$A1000=""C0"",RASTREABILIDADE!$D$2:$D1000&lt;&gt;""""))"),72.0)</f>
        <v>72</v>
      </c>
      <c r="C19" s="63">
        <f>IFERROR(__xludf.DUMMYFUNCTION("COUNTUNIQUE(FILTER(RASTREABILIDADE!$D$2:$D1000,RASTREABILIDADE!$A$2:$A1000=""C1"",RASTREABILIDADE!$D$2:$D1000&lt;&gt;""""))"),69.0)</f>
        <v>69</v>
      </c>
      <c r="D19" s="63">
        <f>IFERROR(__xludf.DUMMYFUNCTION("COUNTUNIQUE(FILTER(RASTREABILIDADE!$D$2:$D1000,RASTREABILIDADE!$A$2:$A1000=""C2"",RASTREABILIDADE!$D$2:$D1000&lt;&gt;""""))"),64.0)</f>
        <v>64</v>
      </c>
    </row>
    <row r="20">
      <c r="A20" s="16" t="s">
        <v>1037</v>
      </c>
      <c r="B20" s="63">
        <f>COUNTIFS(RASTREABILIDADE!$A:$A,"C0",RASTREABILIDADE!$I:$I,"Sim",RASTREABILIDADE!$C:$C,IF($B$5="Todas","&lt;&gt;",$B$5),RASTREABILIDADE!$B:$B,IF($B$6="Todas","&lt;&gt;",$B$6))</f>
        <v>28</v>
      </c>
      <c r="C20" s="63">
        <f>COUNTIFS(RASTREABILIDADE!$A:$A,"C1",RASTREABILIDADE!$I:$I,"Sim",RASTREABILIDADE!$C:$C,IF($B$5="Todas","&lt;&gt;",$B$5),RASTREABILIDADE!$B:$B,IF($B$6="Todas","&lt;&gt;",$B$6))</f>
        <v>0</v>
      </c>
      <c r="D20" s="63">
        <f>COUNTIFS(RASTREABILIDADE!$A:$A,"C2",RASTREABILIDADE!$I:$I,"Sim",RASTREABILIDADE!$C:$C,IF($B$5="Todas","&lt;&gt;",$B$5),RASTREABILIDADE!$B:$B,IF($B$6="Todas","&lt;&gt;",$B$6))</f>
        <v>0</v>
      </c>
    </row>
    <row r="21" ht="15.75" customHeight="1">
      <c r="A21" s="16" t="s">
        <v>1038</v>
      </c>
      <c r="B21" s="64">
        <f t="shared" ref="B21:D21" si="3">IFERROR(B20/B19,"")</f>
        <v>0.3888888889</v>
      </c>
      <c r="C21" s="64">
        <f t="shared" si="3"/>
        <v>0</v>
      </c>
      <c r="D21" s="64">
        <f t="shared" si="3"/>
        <v>0</v>
      </c>
      <c r="E21" s="60" t="s">
        <v>1039</v>
      </c>
    </row>
    <row r="22" ht="15.75" customHeight="1">
      <c r="A22" s="16" t="s">
        <v>1040</v>
      </c>
      <c r="B22" s="65">
        <f t="shared" ref="B22:D22" si="4">IFERROR(B19/$B$10,"")</f>
        <v>3.130434783</v>
      </c>
      <c r="C22" s="65">
        <f t="shared" si="4"/>
        <v>3</v>
      </c>
      <c r="D22" s="65">
        <f t="shared" si="4"/>
        <v>2.782608696</v>
      </c>
      <c r="E22" s="60" t="s">
        <v>1041</v>
      </c>
    </row>
    <row r="23" ht="15.75" customHeight="1">
      <c r="A23" s="16" t="s">
        <v>1042</v>
      </c>
      <c r="B23" s="63">
        <f>IFERROR(SUMIFS('C0'!$L:$L,'C0'!$A:$A,IF($B$6="Todas","*",$B$6),'C0'!$B:$B,IF($B$5="Todas","&lt;&gt;",$B$5)),"")</f>
        <v>72</v>
      </c>
      <c r="C23" s="63">
        <f>IFERROR(SUMIFS('C1'!$M:$M,'C1'!$A:$A,IF($B$6="Todas","*",$B$6),'C1'!$B:$B,IF($B$5="Todas","&lt;&gt;",$B$5)),"")</f>
        <v>69</v>
      </c>
      <c r="D23" s="63">
        <f>IFERROR(SUMIFS('C2'!$O:$O,'C2'!$A:$A,IF($B$6="Todas","*",$B$6),'C2'!$B:$B,IF($B$5="Todas","&lt;&gt;",$B$5)),"")</f>
        <v>65</v>
      </c>
      <c r="E23" s="60" t="s">
        <v>1043</v>
      </c>
    </row>
    <row r="24" ht="15.75" customHeight="1">
      <c r="A24" s="4" t="s">
        <v>1044</v>
      </c>
      <c r="B24" s="5"/>
      <c r="C24" s="5"/>
      <c r="D24" s="5"/>
    </row>
    <row r="25" ht="15.75" customHeight="1">
      <c r="A25" s="61" t="s">
        <v>1017</v>
      </c>
      <c r="B25" s="61" t="s">
        <v>532</v>
      </c>
      <c r="C25" s="61" t="s">
        <v>684</v>
      </c>
      <c r="D25" s="61" t="s">
        <v>815</v>
      </c>
    </row>
    <row r="26" ht="15.75" customHeight="1">
      <c r="A26" s="16" t="s">
        <v>1045</v>
      </c>
      <c r="B26" s="63" t="str">
        <f>COUNTIFS(RASTREABILIDADE!$A:$A,"C0",#REF!,"Não",RASTREABILIDADE!$C:$C,IF($B$5="Todas","&lt;&gt;",$B$5),RASTREABILIDADE!$B:$B,IF($B$6="Todas","&lt;&gt;",$B$6))</f>
        <v>#VALUE!</v>
      </c>
      <c r="C26" s="63" t="str">
        <f>COUNTIFS(RASTREABILIDADE!$A:$A,"C1",#REF!,"Não",RASTREABILIDADE!$C:$C,IF($B$5="Todas","&lt;&gt;",$B$5),RASTREABILIDADE!$B:$B,IF($B$6="Todas","&lt;&gt;",$B$6))</f>
        <v>#VALUE!</v>
      </c>
      <c r="D26" s="63" t="str">
        <f>COUNTIFS(RASTREABILIDADE!$A:$A,"C2",#REF!,"Não",RASTREABILIDADE!$C:$C,IF($B$5="Todas","&lt;&gt;",$B$5),RASTREABILIDADE!$B:$B,IF($B$6="Todas","&lt;&gt;",$B$6))</f>
        <v>#VALUE!</v>
      </c>
    </row>
    <row r="27" ht="15.75" customHeight="1">
      <c r="A27" s="16" t="s">
        <v>1046</v>
      </c>
      <c r="B27" s="63">
        <f>IFERROR(__xludf.DUMMYFUNCTION("COUNTUNIQUE(FILTER(INTERVENCOES!$E$2:$E1000,INTERVENCOES!$A$2:$A1000=""C0"",INTERVENCOES!$E$2:$E1000&lt;&gt;""""))"),3.0)</f>
        <v>3</v>
      </c>
      <c r="C27" s="66">
        <f>IFERROR(__xludf.DUMMYFUNCTION("IF(COUNTIF(INTERVENCOES!$A$2:$A1000,""C1"")=0,0,COUNTUNIQUE(FILTER(INTERVENCOES!$E$2:$E1000,INTERVENCOES!$A$2:$A1000=""C1"",INTERVENCOES!$E$2:$E1000&lt;&gt;"""")))"),0.0)</f>
        <v>0</v>
      </c>
      <c r="D27" s="63">
        <f>IFERROR(__xludf.DUMMYFUNCTION("IF(COUNTIF(INTERVENCOES!$A$2:$A1000,""C2"")=0,0,COUNTUNIQUE(FILTER(INTERVENCOES!$E$2:$E1000,INTERVENCOES!$A$2:$A1000=""C2"",INTERVENCOES!$E$2:$E1000&lt;&gt;"""")))"),0.0)</f>
        <v>0</v>
      </c>
    </row>
    <row r="28" ht="15.75" customHeight="1">
      <c r="A28" s="16" t="s">
        <v>1047</v>
      </c>
      <c r="B28" s="63">
        <f>COUNTIFS(INTERVENCOES!$A:$A,"C0",INTERVENCOES!$F:$F,"Remoção de cenário espúrio",INTERVENCOES!$C:$C,IF($B$5="Todas","&lt;&gt;",$B$5),INTERVENCOES!$B:$B,IF($B$6="Todas","&lt;&gt;",$B$6))</f>
        <v>1</v>
      </c>
      <c r="C28" s="63">
        <f>COUNTIFS(INTERVENCOES!$A:$A,"C1",INTERVENCOES!$F:$F,"Remoção de cenário espúrio",INTERVENCOES!$C:$C,IF($B$5="Todas","&lt;&gt;",$B$5),INTERVENCOES!$B:$B,IF($B$6="Todas","&lt;&gt;",$B$6))</f>
        <v>0</v>
      </c>
      <c r="D28" s="63">
        <f>COUNTIFS(INTERVENCOES!$A:$A,"C2",INTERVENCOES!$F:$F,"Remoção de cenário espúrio",INTERVENCOES!$C:$C,IF($B$5="Todas","&lt;&gt;",$B$5),INTERVENCOES!$B:$B,IF($B$6="Todas","&lt;&gt;",$B$6))</f>
        <v>0</v>
      </c>
      <c r="E28" s="60" t="s">
        <v>1048</v>
      </c>
    </row>
    <row r="29" ht="15.75" customHeight="1">
      <c r="A29" s="16" t="s">
        <v>1049</v>
      </c>
      <c r="B29" s="63">
        <f>COUNTIFS(INTERVENCOES!$A:$A,"C0",INTERVENCOES!$F:$F,"Complementação de cobertura",INTERVENCOES!$C:$C,IF($B$5="Todas","&lt;&gt;",$B$5),INTERVENCOES!$B:$B,IF($B$6="Todas","&lt;&gt;",$B$6))</f>
        <v>0</v>
      </c>
      <c r="C29" s="63">
        <f>COUNTIFS(INTERVENCOES!$A:$A,"C1",INTERVENCOES!$F:$F,"Complementação de cobertura",INTERVENCOES!$C:$C,IF($B$5="Todas","&lt;&gt;",$B$5),INTERVENCOES!$B:$B,IF($B$6="Todas","&lt;&gt;",$B$6))</f>
        <v>0</v>
      </c>
      <c r="D29" s="63">
        <f>COUNTIFS(INTERVENCOES!$A:$A,"C2",INTERVENCOES!$F:$F,"Complementação de cobertura",INTERVENCOES!$C:$C,IF($B$5="Todas","&lt;&gt;",$B$5),INTERVENCOES!$B:$B,IF($B$6="Todas","&lt;&gt;",$B$6))</f>
        <v>0</v>
      </c>
      <c r="E29" s="60" t="s">
        <v>1050</v>
      </c>
    </row>
    <row r="30" ht="15.75" customHeight="1">
      <c r="A30" s="16" t="s">
        <v>1051</v>
      </c>
      <c r="B30" s="63">
        <f t="shared" ref="B30:C30" si="5">0</f>
        <v>0</v>
      </c>
      <c r="C30" s="63">
        <f t="shared" si="5"/>
        <v>0</v>
      </c>
      <c r="D30" s="63" t="str">
        <f>COUNTIFS('C2'!$A:$A,IF($B$6="Todas","&lt;&gt;",$B$6),'C2'!$B:$B,IF($B$5="Todas","&lt;&gt;",$B$5),#REF!,"Sim")</f>
        <v>#VALUE!</v>
      </c>
      <c r="E30" s="60" t="s">
        <v>1052</v>
      </c>
    </row>
    <row r="31" ht="15.75" customHeight="1">
      <c r="A31" s="16" t="s">
        <v>1053</v>
      </c>
      <c r="B31" s="63">
        <f>COUNTIFS(INTERVENCOES!$A:$A,"C0",INTERVENCOES!$C:$C,IF($B$5="Todas","&lt;&gt;",$B$5),INTERVENCOES!$B:$B,IF($B$6="Todas","&lt;&gt;",$B$6))</f>
        <v>3</v>
      </c>
      <c r="C31" s="63">
        <f>COUNTIFS(INTERVENCOES!$A:$A,"C1",INTERVENCOES!$C:$C,IF($B$5="Todas","&lt;&gt;",$B$5),INTERVENCOES!$B:$B,IF($B$6="Todas","&lt;&gt;",$B$6))</f>
        <v>0</v>
      </c>
      <c r="D31" s="63">
        <f>COUNTIFS(INTERVENCOES!$A:$A,"C2",INTERVENCOES!$C:$C,IF($B$5="Todas","&lt;&gt;",$B$5),INTERVENCOES!$B:$B,IF($B$6="Todas","&lt;&gt;",$B$6))</f>
        <v>0</v>
      </c>
    </row>
    <row r="32" ht="15.75" customHeight="1">
      <c r="A32" s="16" t="s">
        <v>1054</v>
      </c>
      <c r="B32" s="67">
        <f>SUMIFS(INTERVENCOES!$I:$I,INTERVENCOES!$A:$A,"C0",INTERVENCOES!$C:$C,IF($B$5="Todas","&lt;&gt;",$B$5),INTERVENCOES!$B:$B,IF($B$6="Todas","&lt;&gt;",$B$6))-SUMIFS(INTERVENCOES!$I:$I,INTERVENCOES!$A:$A,"C0",INTERVENCOES!$F:$F,"Correção técnica de automação",INTERVENCOES!$C:$C,IF($B$5="Todas","&lt;&gt;",$B$5),INTERVENCOES!$B:$B,IF($B$6="Todas","&lt;&gt;",$B$6))</f>
        <v>6</v>
      </c>
      <c r="C32" s="67">
        <f>SUMIFS(INTERVENCOES!$I:$I,INTERVENCOES!$A:$A,"C1",INTERVENCOES!$C:$C,IF($B$5="Todas","&lt;&gt;",$B$5),INTERVENCOES!$B:$B,IF($B$6="Todas","&lt;&gt;",$B$6))-SUMIFS(INTERVENCOES!$I:$I,INTERVENCOES!$A:$A,"C1",INTERVENCOES!$F:$F,"Correção técnica de automação",INTERVENCOES!$C:$C,IF($B$5="Todas","&lt;&gt;",$B$5),INTERVENCOES!$B:$B,IF($B$6="Todas","&lt;&gt;",$B$6))</f>
        <v>0</v>
      </c>
      <c r="D32" s="67">
        <f>SUMIFS(INTERVENCOES!$I:$I,INTERVENCOES!$A:$A,"C2",INTERVENCOES!$C:$C,IF($B$5="Todas","&lt;&gt;",$B$5),INTERVENCOES!$B:$B,IF($B$6="Todas","&lt;&gt;",$B$6))-SUMIFS(INTERVENCOES!$I:$I,INTERVENCOES!$A:$A,"C2",INTERVENCOES!$F:$F,"Correção técnica de automação",INTERVENCOES!$C:$C,IF($B$5="Todas","&lt;&gt;",$B$5),INTERVENCOES!$B:$B,IF($B$6="Todas","&lt;&gt;",$B$6))</f>
        <v>0</v>
      </c>
      <c r="E32" s="60" t="s">
        <v>1055</v>
      </c>
    </row>
    <row r="33" ht="15.75" customHeight="1">
      <c r="A33" s="16" t="s">
        <v>1056</v>
      </c>
      <c r="B33" s="67">
        <f>SUMIFS(INTERVENCOES!$I:$I,INTERVENCOES!$A:$A,"C0",INTERVENCOES!$F:$F,"Correção técnica de automação",INTERVENCOES!$C:$C,IF($B$5="Todas","&lt;&gt;",$B$5),INTERVENCOES!$B:$B,IF($B$6="Todas","&lt;&gt;",$B$6))</f>
        <v>0</v>
      </c>
      <c r="C33" s="67">
        <f>SUMIFS(INTERVENCOES!$I:$I,INTERVENCOES!$A:$A,"C1",INTERVENCOES!$F:$F,"Correção técnica de automação",INTERVENCOES!$C:$C,IF($B$5="Todas","&lt;&gt;",$B$5),INTERVENCOES!$B:$B,IF($B$6="Todas","&lt;&gt;",$B$6))</f>
        <v>0</v>
      </c>
      <c r="D33" s="67">
        <f>SUMIFS(INTERVENCOES!$I:$I,INTERVENCOES!$A:$A,"C2",INTERVENCOES!$F:$F,"Correção técnica de automação",INTERVENCOES!$C:$C,IF($B$5="Todas","&lt;&gt;",$B$5),INTERVENCOES!$B:$B,IF($B$6="Todas","&lt;&gt;",$B$6))</f>
        <v>0</v>
      </c>
    </row>
    <row r="34" ht="15.75" customHeight="1">
      <c r="A34" s="16" t="s">
        <v>1057</v>
      </c>
      <c r="B34" s="68"/>
      <c r="C34" s="68"/>
      <c r="D34" s="68"/>
      <c r="E34" s="60" t="s">
        <v>1058</v>
      </c>
    </row>
    <row r="35" ht="15.75" customHeight="1">
      <c r="A35" s="4" t="s">
        <v>1059</v>
      </c>
      <c r="B35" s="5"/>
      <c r="C35" s="5"/>
      <c r="D35" s="5"/>
    </row>
    <row r="36" ht="15.75" customHeight="1">
      <c r="A36" s="61" t="s">
        <v>1017</v>
      </c>
      <c r="B36" s="61" t="s">
        <v>532</v>
      </c>
      <c r="C36" s="61" t="s">
        <v>684</v>
      </c>
      <c r="D36" s="61" t="s">
        <v>815</v>
      </c>
    </row>
    <row r="37" ht="15.75" customHeight="1">
      <c r="A37" s="16" t="s">
        <v>1060</v>
      </c>
      <c r="B37" s="63">
        <f>COUNTIFS(AUTOMACAO!$A:$A,"C0",AUTOMACAO!$D:$D,"&lt;&gt;",AUTOMACAO!$C:$C,IF($B$5="Todas","&lt;&gt;",$B$5),AUTOMACAO!$B:$B,IF($B$6="Todas","&lt;&gt;",$B$6))</f>
        <v>0</v>
      </c>
      <c r="C37" s="63">
        <f>COUNTIFS(AUTOMACAO!$A:$A,"C1",AUTOMACAO!$D:$D,"&lt;&gt;",AUTOMACAO!$C:$C,IF($B$5="Todas","&lt;&gt;",$B$5),AUTOMACAO!$B:$B,IF($B$6="Todas","&lt;&gt;",$B$6))</f>
        <v>69</v>
      </c>
      <c r="D37" s="63">
        <f>COUNTIFS(AUTOMACAO!$A:$A,"C2",AUTOMACAO!$D:$D,"&lt;&gt;",AUTOMACAO!$C:$C,IF($B$5="Todas","&lt;&gt;",$B$5),AUTOMACAO!$B:$B,IF($B$6="Todas","&lt;&gt;",$B$6))</f>
        <v>63</v>
      </c>
    </row>
    <row r="38" ht="15.75" customHeight="1">
      <c r="A38" s="16" t="s">
        <v>1061</v>
      </c>
      <c r="B38" s="63">
        <f>COUNTIFS(AUTOMACAO!$A:$A,"C0",AUTOMACAO!$M:$M,"PASSOU",AUTOMACAO!$I:$I,"&lt;&gt;Sim",AUTOMACAO!$C:$C,IF($B$5="Todas","&lt;&gt;",$B$5),AUTOMACAO!$B:$B,IF($B$6="Todas","&lt;&gt;",$B$6))</f>
        <v>0</v>
      </c>
      <c r="C38" s="63">
        <f>COUNTIFS(AUTOMACAO!$A:$A,"C1",AUTOMACAO!$M:$M,"PASSOU",AUTOMACAO!$I:$I,"&lt;&gt;Sim",AUTOMACAO!$C:$C,IF($B$5="Todas","&lt;&gt;",$B$5),AUTOMACAO!$B:$B,IF($B$6="Todas","&lt;&gt;",$B$6))</f>
        <v>66</v>
      </c>
      <c r="D38" s="63">
        <f>COUNTIFS(AUTOMACAO!$A:$A,"C2",AUTOMACAO!$M:$M,"PASSOU",AUTOMACAO!$I:$I,"&lt;&gt;Sim",AUTOMACAO!$C:$C,IF($B$5="Todas","&lt;&gt;",$B$5),AUTOMACAO!$B:$B,IF($B$6="Todas","&lt;&gt;",$B$6))</f>
        <v>63</v>
      </c>
    </row>
    <row r="39" ht="15.75" customHeight="1">
      <c r="A39" s="16" t="s">
        <v>1062</v>
      </c>
      <c r="B39" s="63">
        <f>COUNTIFS(AUTOMACAO!$A:$A,"C0",AUTOMACAO!$M:$M,"PASSOU",AUTOMACAO!$I:$I,"Sim",AUTOMACAO!$C:$C,IF($B$5="Todas","&lt;&gt;",$B$5),AUTOMACAO!$B:$B,IF($B$6="Todas","&lt;&gt;",$B$6))</f>
        <v>0</v>
      </c>
      <c r="C39" s="63">
        <f>COUNTIFS(AUTOMACAO!$A:$A,"C1",AUTOMACAO!$M:$M,"PASSOU",AUTOMACAO!$I:$I,"Sim",AUTOMACAO!$C:$C,IF($B$5="Todas","&lt;&gt;",$B$5),AUTOMACAO!$B:$B,IF($B$6="Todas","&lt;&gt;",$B$6))</f>
        <v>0</v>
      </c>
      <c r="D39" s="63">
        <f>COUNTIFS(AUTOMACAO!$A:$A,"C2",AUTOMACAO!$M:$M,"PASSOU",AUTOMACAO!$I:$I,"Sim",AUTOMACAO!$C:$C,IF($B$5="Todas","&lt;&gt;",$B$5),AUTOMACAO!$B:$B,IF($B$6="Todas","&lt;&gt;",$B$6))</f>
        <v>0</v>
      </c>
    </row>
    <row r="40" ht="15.75" customHeight="1">
      <c r="A40" s="16" t="s">
        <v>1063</v>
      </c>
      <c r="B40" s="63">
        <f>COUNTIFS(AUTOMACAO!$A:$A,"C0",AUTOMACAO!$G:$G,"Não",AUTOMACAO!$C:$C,IF($B$5="Todas","&lt;&gt;",$B$5),AUTOMACAO!$B:$B,IF($B$6="Todas","&lt;&gt;",$B$6))</f>
        <v>0</v>
      </c>
      <c r="C40" s="63">
        <f>COUNTIFS(AUTOMACAO!$A:$A,"C1",AUTOMACAO!$G:$G,"Não",AUTOMACAO!$C:$C,IF($B$5="Todas","&lt;&gt;",$B$5),AUTOMACAO!$B:$B,IF($B$6="Todas","&lt;&gt;",$B$6))</f>
        <v>0</v>
      </c>
      <c r="D40" s="63">
        <f>COUNTIFS(AUTOMACAO!$A:$A,"C2",AUTOMACAO!$G:$G,"Não",AUTOMACAO!$C:$C,IF($B$5="Todas","&lt;&gt;",$B$5),AUTOMACAO!$B:$B,IF($B$6="Todas","&lt;&gt;",$B$6))</f>
        <v>0</v>
      </c>
    </row>
    <row r="41" ht="15.75" customHeight="1">
      <c r="A41" s="16" t="s">
        <v>1064</v>
      </c>
      <c r="B41" s="63">
        <f>COUNTIFS(AUTOMACAO!$A:$A,"C0",AUTOMACAO!$J:$J,"Sim",AUTOMACAO!$C:$C,IF($B$5="Todas","&lt;&gt;",$B$5),AUTOMACAO!$B:$B,IF($B$6="Todas","&lt;&gt;",$B$6))</f>
        <v>0</v>
      </c>
      <c r="C41" s="63">
        <f>COUNTIFS(AUTOMACAO!$A:$A,"C1",AUTOMACAO!$J:$J,"Sim",AUTOMACAO!$C:$C,IF($B$5="Todas","&lt;&gt;",$B$5),AUTOMACAO!$B:$B,IF($B$6="Todas","&lt;&gt;",$B$6))</f>
        <v>3</v>
      </c>
      <c r="D41" s="63">
        <f>COUNTIFS(AUTOMACAO!$A:$A,"C2",AUTOMACAO!$J:$J,"Sim",AUTOMACAO!$C:$C,IF($B$5="Todas","&lt;&gt;",$B$5),AUTOMACAO!$B:$B,IF($B$6="Todas","&lt;&gt;",$B$6))</f>
        <v>0</v>
      </c>
    </row>
    <row r="42" ht="15.75" customHeight="1">
      <c r="A42" s="16" t="s">
        <v>1065</v>
      </c>
      <c r="B42" s="63">
        <f>COUNTIFS(AUTOMACAO!$A:$A,"C0",AUTOMACAO!$K:$K,"Sim",AUTOMACAO!$C:$C,IF($B$5="Todas","&lt;&gt;",$B$5),AUTOMACAO!$B:$B,IF($B$6="Todas","&lt;&gt;",$B$6))</f>
        <v>0</v>
      </c>
      <c r="C42" s="63">
        <f>COUNTIFS(AUTOMACAO!$A:$A,"C1",AUTOMACAO!$K:$K,"Sim",AUTOMACAO!$C:$C,IF($B$5="Todas","&lt;&gt;",$B$5),AUTOMACAO!$B:$B,IF($B$6="Todas","&lt;&gt;",$B$6))</f>
        <v>0</v>
      </c>
      <c r="D42" s="63">
        <f>COUNTIFS(AUTOMACAO!$A:$A,"C2",AUTOMACAO!$K:$K,"Sim",AUTOMACAO!$C:$C,IF($B$5="Todas","&lt;&gt;",$B$5),AUTOMACAO!$B:$B,IF($B$6="Todas","&lt;&gt;",$B$6))</f>
        <v>0</v>
      </c>
      <c r="E42" s="60" t="s">
        <v>1066</v>
      </c>
    </row>
    <row r="43" ht="15.75" customHeight="1">
      <c r="A43" s="16" t="s">
        <v>1067</v>
      </c>
      <c r="B43" s="63">
        <f>COUNTIFS(AUTOMACAO!$A:$A,"C0",AUTOMACAO!$L:$L,"&lt;&gt;",AUTOMACAO!$L:$L,"&lt;&gt;N/A",AUTOMACAO!$C:$C,IF($B$5="Todas","&lt;&gt;",$B$5),AUTOMACAO!$B:$B,IF($B$6="Todas","&lt;&gt;",$B$6))</f>
        <v>0</v>
      </c>
      <c r="C43" s="63">
        <f>COUNTIFS(AUTOMACAO!$A:$A,"C1",AUTOMACAO!$L:$L,"&lt;&gt;",AUTOMACAO!$L:$L,"&lt;&gt;N/A",AUTOMACAO!$C:$C,IF($B$5="Todas","&lt;&gt;",$B$5),AUTOMACAO!$B:$B,IF($B$6="Todas","&lt;&gt;",$B$6))</f>
        <v>0</v>
      </c>
      <c r="D43" s="63">
        <f>COUNTIFS(AUTOMACAO!$A:$A,"C2",AUTOMACAO!$L:$L,"&lt;&gt;",AUTOMACAO!$L:$L,"&lt;&gt;N/A",AUTOMACAO!$C:$C,IF($B$5="Todas","&lt;&gt;",$B$5),AUTOMACAO!$B:$B,IF($B$6="Todas","&lt;&gt;",$B$6))</f>
        <v>0</v>
      </c>
    </row>
    <row r="44" ht="15.75" customHeight="1">
      <c r="A44" s="16" t="s">
        <v>1068</v>
      </c>
      <c r="B44" s="64" t="str">
        <f t="shared" ref="B44:D44" si="6">IFERROR(B38/B37,"")</f>
        <v/>
      </c>
      <c r="C44" s="64">
        <f t="shared" si="6"/>
        <v>0.9565217391</v>
      </c>
      <c r="D44" s="64">
        <f t="shared" si="6"/>
        <v>1</v>
      </c>
    </row>
    <row r="45" ht="15.75" customHeight="1">
      <c r="A45" s="16" t="s">
        <v>1069</v>
      </c>
      <c r="B45" s="64" t="str">
        <f t="shared" ref="B45:D45" si="7">IFERROR((B38+B39)/B37,"")</f>
        <v/>
      </c>
      <c r="C45" s="64">
        <f t="shared" si="7"/>
        <v>0.9565217391</v>
      </c>
      <c r="D45" s="64">
        <f t="shared" si="7"/>
        <v>1</v>
      </c>
    </row>
    <row r="46" ht="15.75" customHeight="1">
      <c r="A46" s="4" t="s">
        <v>1070</v>
      </c>
      <c r="B46" s="5"/>
      <c r="C46" s="5"/>
      <c r="D46" s="5"/>
    </row>
    <row r="47" ht="15.75" customHeight="1">
      <c r="A47" s="61" t="s">
        <v>1017</v>
      </c>
      <c r="B47" s="61" t="s">
        <v>532</v>
      </c>
      <c r="C47" s="61" t="s">
        <v>684</v>
      </c>
      <c r="D47" s="61" t="s">
        <v>815</v>
      </c>
      <c r="E47" s="2" t="s">
        <v>1071</v>
      </c>
    </row>
    <row r="48" ht="15.75" customHeight="1">
      <c r="A48" s="16" t="s">
        <v>1072</v>
      </c>
      <c r="B48" s="69"/>
      <c r="C48" s="69"/>
      <c r="D48" s="69"/>
      <c r="E48" s="60" t="s">
        <v>1073</v>
      </c>
    </row>
    <row r="49" ht="15.75" customHeight="1">
      <c r="A49" s="16" t="s">
        <v>1074</v>
      </c>
      <c r="B49" s="64" t="str">
        <f t="shared" ref="B49:D49" si="8">IF(B48="","",IFERROR(B48/B19,""))</f>
        <v/>
      </c>
      <c r="C49" s="64" t="str">
        <f t="shared" si="8"/>
        <v/>
      </c>
      <c r="D49" s="64" t="str">
        <f t="shared" si="8"/>
        <v/>
      </c>
      <c r="E49" s="60" t="s">
        <v>1075</v>
      </c>
    </row>
    <row r="50" ht="15.75" customHeight="1">
      <c r="A50" s="16" t="s">
        <v>1076</v>
      </c>
      <c r="B50" s="69"/>
      <c r="C50" s="69"/>
      <c r="D50" s="69"/>
      <c r="E50" s="60" t="s">
        <v>1073</v>
      </c>
    </row>
    <row r="51" ht="15.75" customHeight="1">
      <c r="A51" s="16" t="s">
        <v>1077</v>
      </c>
      <c r="B51" s="64" t="str">
        <f t="shared" ref="B51:D51" si="9">IF(B50="","",IFERROR(B50/B19,""))</f>
        <v/>
      </c>
      <c r="C51" s="64" t="str">
        <f t="shared" si="9"/>
        <v/>
      </c>
      <c r="D51" s="64" t="str">
        <f t="shared" si="9"/>
        <v/>
      </c>
      <c r="E51" s="60" t="s">
        <v>1075</v>
      </c>
    </row>
    <row r="52" ht="15.75" customHeight="1">
      <c r="A52" s="6" t="s">
        <v>1078</v>
      </c>
    </row>
    <row r="53" ht="15.75" customHeight="1">
      <c r="A53" s="16" t="s">
        <v>1079</v>
      </c>
      <c r="B53" s="63">
        <f>COUNTIFS(RASTREABILIDADE!$A:$A,"C0",RASTREABILIDADE!$C:$C,"E1",RASTREABILIDADE!$D:$D,"&lt;&gt;",RASTREABILIDADE!$B:$B,IF($B$6="Todas","&lt;&gt;",$B$6))</f>
        <v>24</v>
      </c>
      <c r="C53" s="63">
        <f>COUNTIFS(RASTREABILIDADE!$A:$A,"C1",RASTREABILIDADE!$C:$C,"E1",RASTREABILIDADE!$D:$D,"&lt;&gt;",RASTREABILIDADE!$B:$B,IF($B$6="Todas","&lt;&gt;",$B$6))</f>
        <v>23</v>
      </c>
      <c r="D53" s="63">
        <f>IFERROR(__xludf.DUMMYFUNCTION("COUNTUNIQUE(FILTER(RASTREABILIDADE!$D$2:$D1000,RASTREABILIDADE!$A$2:$A1000=""C2"",RASTREABILIDADE!$C$2:$C1000=""E1"",RASTREABILIDADE!$D$2:$D1000&lt;&gt;""""))"),21.0)</f>
        <v>21</v>
      </c>
    </row>
    <row r="54" ht="15.75" customHeight="1">
      <c r="A54" s="16" t="s">
        <v>1080</v>
      </c>
      <c r="B54" s="63">
        <f>COUNTIFS(RASTREABILIDADE!$A:$A,"C0",RASTREABILIDADE!$C:$C,"E2",RASTREABILIDADE!$D:$D,"&lt;&gt;",RASTREABILIDADE!$B:$B,IF($B$6="Todas","&lt;&gt;",$B$6))</f>
        <v>24</v>
      </c>
      <c r="C54" s="63">
        <f>COUNTIFS(RASTREABILIDADE!$A:$A,"C1",RASTREABILIDADE!$C:$C,"E2",RASTREABILIDADE!$D:$D,"&lt;&gt;",RASTREABILIDADE!$B:$B,IF($B$6="Todas","&lt;&gt;",$B$6))</f>
        <v>23</v>
      </c>
      <c r="D54" s="63">
        <f>IFERROR(__xludf.DUMMYFUNCTION("COUNTUNIQUE(FILTER(RASTREABILIDADE!$D$2:$D1000,RASTREABILIDADE!$A$2:$A1000=""C2"",RASTREABILIDADE!$C$2:$C1000=""E2"",RASTREABILIDADE!$D$2:$D1000&lt;&gt;""""))"),21.0)</f>
        <v>21</v>
      </c>
    </row>
    <row r="55" ht="15.75" customHeight="1">
      <c r="A55" s="16" t="s">
        <v>1081</v>
      </c>
      <c r="B55" s="63">
        <f>COUNTIFS(RASTREABILIDADE!$A:$A,"C0",RASTREABILIDADE!$C:$C,"E3",RASTREABILIDADE!$D:$D,"&lt;&gt;",RASTREABILIDADE!$B:$B,IF($B$6="Todas","&lt;&gt;",$B$6))</f>
        <v>24</v>
      </c>
      <c r="C55" s="63">
        <f>COUNTIFS(RASTREABILIDADE!$A:$A,"C1",RASTREABILIDADE!$C:$C,"E3",RASTREABILIDADE!$D:$D,"&lt;&gt;",RASTREABILIDADE!$B:$B,IF($B$6="Todas","&lt;&gt;",$B$6))</f>
        <v>23</v>
      </c>
      <c r="D55" s="63">
        <f>IFERROR(__xludf.DUMMYFUNCTION("COUNTUNIQUE(FILTER(RASTREABILIDADE!$D$2:$D1000,RASTREABILIDADE!$A$2:$A1000=""C2"",RASTREABILIDADE!$C$2:$C1000=""E3"",RASTREABILIDADE!$D$2:$D1000&lt;&gt;""""))"),22.0)</f>
        <v>22</v>
      </c>
    </row>
    <row r="56" ht="15.75" customHeight="1">
      <c r="A56" s="16" t="s">
        <v>1082</v>
      </c>
      <c r="B56" s="63">
        <f t="shared" ref="B56:D56" si="10">MAX(B53:B55)-MIN(B53:B55)</f>
        <v>0</v>
      </c>
      <c r="C56" s="63">
        <f t="shared" si="10"/>
        <v>0</v>
      </c>
      <c r="D56" s="63">
        <f t="shared" si="10"/>
        <v>1</v>
      </c>
      <c r="E56" s="60" t="s">
        <v>1083</v>
      </c>
    </row>
    <row r="57" ht="15.75" customHeight="1"/>
    <row r="58" ht="15.75" customHeight="1">
      <c r="A58" s="2" t="s">
        <v>1084</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5">
      <formula1>"Todas,E1,E2,E3"</formula1>
    </dataValidation>
    <dataValidation type="list" allowBlank="1" sqref="B6">
      <formula1>"Todas,H1,H2,H3"</formula1>
    </dataValidation>
  </dataValidations>
  <printOptions/>
  <pageMargins bottom="1.0" footer="0.0" header="0.0" left="0.75" right="0.75" top="1.0"/>
  <pageSetup paperSize="9" orientation="portrait"/>
  <drawing r:id="rId1"/>
</worksheet>
</file>